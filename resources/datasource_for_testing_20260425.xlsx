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515" documentId="11_0B1D56BE9CDCCE836B02CE7A5FB0D4A9BBFD1C62" xr6:coauthVersionLast="47" xr6:coauthVersionMax="47" xr10:uidLastSave="{96ECA388-BE09-409D-9BF0-00F3B8D013D8}"/>
  <bookViews>
    <workbookView xWindow="240" yWindow="105" windowWidth="14805" windowHeight="8010" xr2:uid="{00000000-000D-0000-FFFF-FFFF00000000}"/>
  </bookViews>
  <sheets>
    <sheet name="MenuItems" sheetId="1" r:id="rId1"/>
    <sheet name="MenuSections" sheetId="2" r:id="rId2"/>
    <sheet name="MenuForma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8" i="1" l="1"/>
  <c r="J76" i="1"/>
  <c r="J77" i="1"/>
  <c r="J49" i="1"/>
  <c r="J5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51" i="1"/>
  <c r="J52" i="1"/>
  <c r="J53" i="1"/>
  <c r="J54" i="1"/>
  <c r="J55" i="1"/>
  <c r="J56" i="1"/>
  <c r="J57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2" i="1"/>
</calcChain>
</file>

<file path=xl/sharedStrings.xml><?xml version="1.0" encoding="utf-8"?>
<sst xmlns="http://schemas.openxmlformats.org/spreadsheetml/2006/main" count="335" uniqueCount="237">
  <si>
    <t>id</t>
  </si>
  <si>
    <t>name</t>
  </si>
  <si>
    <t>ingredients</t>
  </si>
  <si>
    <t>englishTranslation</t>
  </si>
  <si>
    <t>germanTranslation</t>
  </si>
  <si>
    <t>firstPrice</t>
  </si>
  <si>
    <t>secondPrice</t>
  </si>
  <si>
    <t>order</t>
  </si>
  <si>
    <t>category</t>
  </si>
  <si>
    <t>menuSection</t>
  </si>
  <si>
    <t>subcategory</t>
  </si>
  <si>
    <t>menuFormats</t>
  </si>
  <si>
    <t>Marinara</t>
  </si>
  <si>
    <t>pomodoro pelato italiano, origano calabrese, aglio tritato ﬁne, olio extravergine di oliva 100% italiano, basilico fresco</t>
  </si>
  <si>
    <t>peeled Italian tomatoes, Calabrian oregano, finely chopped garlic, 100% Italian extra virgin olive oil, fresh basil</t>
  </si>
  <si>
    <t>geschälte italienische Tomaten, kalabrischer Oregano, fein gehackter Knoblauch, 100 % italienisches natives Olivenöl extra, frisches Basilikum</t>
  </si>
  <si>
    <t>1,2,3</t>
  </si>
  <si>
    <t>Bufala</t>
  </si>
  <si>
    <t>pomodoro pelato italiano, mozzarella di bufala campana DOP, parmigiano reggiano, olio extravergine 100% italiano, basilico fresco</t>
  </si>
  <si>
    <t>peeled Italian tomatoes, buffalo mozzarella from Campania DOP, Parmigiano Reggiano, 100% Italian extra virgin olive oil, fresh basil</t>
  </si>
  <si>
    <t>geschälte italienische Tomaten, Büffelmozzarella aus Kampanien DOP, Parmigiano Reggiano, 100 % italienisches natives Olivenöl extra, frisches Basilikum</t>
  </si>
  <si>
    <t>Veneta</t>
  </si>
  <si>
    <t>base bianca senza pomodoro, mozzarella da latte 100% italiano, provola affumicata, gocce di olio aromatizzato al tartufo, porchetta trevigiana selezione oro a ﬁne cottura</t>
  </si>
  <si>
    <t>white base without tomato, mozzarella from 100% Italian milk, smoked provola cheese, drops of truffle-flavored oil, premium Treviso porchetta added after baking</t>
  </si>
  <si>
    <t>Weiße Basis ohne Tomate, Mozzarella aus 100 % italienischer Milch, geräucherter Provola, Tropfen von Trüffelöl, Treviso-Porchetta „Selezione Oro“ nach dem Backen</t>
  </si>
  <si>
    <t>Saporita</t>
  </si>
  <si>
    <t>base bianca senza pomodoro, mozzarella da latte 100% italiano, gorgonzola DOP, grana padano DOP grattuggiato, prosciutto cotto alta qualità a ﬁne cottura</t>
  </si>
  <si>
    <t>white base without tomato, mozzarella from 100% Italian milk, Gorgonzola DOP, grated Grana Padano DOP, premium cooked ham added after baking</t>
  </si>
  <si>
    <t>Weiße Basis ohne Tomate, Mozzarella aus 100 % italienischer Milch, Gorgonzola DOP, geriebener Grana Padano DOP, hochwertiger Kochschinken nach dem Backen</t>
  </si>
  <si>
    <t>Sarda</t>
  </si>
  <si>
    <t>pomodoro pelato italiano, origano calabrese, mozzarella da latte 100% italiano, salsiccia di maiale senza conservanti aggiunti, pecorino sardo DOP grattuggiato (in cottura)</t>
  </si>
  <si>
    <t>Italian peeled tomatoes, Calabrian oregano, mozzarella from 100% Italian milk, preservative-free pork sausage, grated Pecorino Sardo DOP (cooked)</t>
  </si>
  <si>
    <t>Italienische geschälte Tomaten, kalabrischer Oregano, Mozzarella aus 100 % italienischer Milch, Schweinswurst ohne Zusatzstoffe, geriebener Pecorino Sardo DOP (mitgebacken)</t>
  </si>
  <si>
    <t>Bologna</t>
  </si>
  <si>
    <t>base bianca senza pomodoro, mozzarella da latte 100% italiano, mortadella IGP antica bologna, stracciatella di burrata, granella di pistacchio</t>
  </si>
  <si>
    <t>white base without tomato, mozzarella from 100% Italian milk, "Antica Bologna" Mortadella IGP, burrata stracciatella, crushed pistachios</t>
  </si>
  <si>
    <t>Weiße Basis ohne Tomate, Mozzarella aus 100 % italienischer Milch, Mortadella IGP „Antica Bologna“, Stracciatella di Burrata, gehackte Pistazien</t>
  </si>
  <si>
    <t>Gricia</t>
  </si>
  <si>
    <t>base bianca senza pomodoro, mozzarella da latte 100% italiano, pecorino Romano DOP grattugiato, guanciale di Sauris, pepe nero macinato a ﬁne cottura</t>
  </si>
  <si>
    <t>white base without tomato, mozzarella from 100% Italian milk, grated Pecorino Romano DOP, Sauris guanciale, freshly ground black pepper added after baking</t>
  </si>
  <si>
    <t>Weiße Basis ohne Tomate, Mozzarella aus 100 % italienischer Milch, geriebener Pecorino Romano DOP, Guanciale aus Sauris, schwarzer Pfeffer nach dem Backen</t>
  </si>
  <si>
    <t>Salsiccia e friarielli</t>
  </si>
  <si>
    <t>base bianca senza pomodoro, mozzarella da latte 100% italiano, friarielli*, salsiccia senza conservanti aggiunti, provola affumicata, grana padano DOP</t>
  </si>
  <si>
    <t>white base without tomato, mozzarella from 100% Italian milk, *friarielli (Neapolitan-style broccoli rabe), preservative-free sausage, smoked provola cheese, Grana Padano DOP</t>
  </si>
  <si>
    <t>Weiße Basis ohne Tomate, Mozzarella aus 100 % italienischer Milch, *friarielli*, Wurst ohne Zusatzstoffe, geräucherter Provola, Grana Padano DOP</t>
  </si>
  <si>
    <t>Siciliana</t>
  </si>
  <si>
    <t>pomodoro pelato italiano, mozzarella di bufala campana DOP, olive della Riviera del Garda denocciolate, capperi siciliani, ﬁletti di acciughe, origano, basilico fresco</t>
  </si>
  <si>
    <t>Italian peeled tomatoes, buffalo mozzarella from Campania DOP, pitted olives from Lake Garda, Sicilian capers, anchovy fillets, oregano, fresh basil</t>
  </si>
  <si>
    <t>Italienische geschälte Tomaten, Büffelmozzarella aus Kampanien DOP, entkernte Oliven von der Gardasee-Riviera, sizilianische Kapern, Sardellenfilets, Oregano, frisches Basilikum</t>
  </si>
  <si>
    <t>Parma Dop</t>
  </si>
  <si>
    <t>pomodoro pelato italiano, mozzarella con latte di bufala campana DOP spezzata a mano, crudo di Parma riserva DOP stagionato 24 mesi, basilico fresco</t>
  </si>
  <si>
    <t>peeled Italian tomatoes, hand-shredded mozzarella made with buffalo milk from Campania (PDO), 24-month-aged Parma ham (PDO), fresh basil</t>
  </si>
  <si>
    <t>geschälte italienische Tomaten, handgezupfter Mozzarella aus Büffelmilch aus Kampanien (g.U.), 24 Monate gereifter Parmaschinken „Riserva“ (g.U.), frisches Basilikum</t>
  </si>
  <si>
    <t>Tirolese</t>
  </si>
  <si>
    <t>crema di ricotta alla base, mozzarella da latte 100% italiano, formaggio brie, speck di Sauris IGP</t>
  </si>
  <si>
    <t>ricotta cream base, mozzarella from 100% Italian milk, Brie cheese, Sauris speck IGP</t>
  </si>
  <si>
    <t>Ricottacreme als Basis, Mozzarella aus 100 % italienischer Milch, Brie, Speck aus Sauris IGP</t>
  </si>
  <si>
    <t>Capricciosa</t>
  </si>
  <si>
    <t>salsa di pomodoro, mozzarella ﬁor di latte, prosciutto cotto alta qualità, carcioﬁ, funghi champignon trifolati</t>
  </si>
  <si>
    <t>tomato sauce, fior di latte mozzarella, premium cooked ham, artichokes, sautéed champignon mushrooms</t>
  </si>
  <si>
    <t>Tomatensoße, Fior di Latte-Mozzarella, hochwertiger Kochschinken, Artischocken, sautierte Champignon-Pilze</t>
  </si>
  <si>
    <t>Diavola</t>
  </si>
  <si>
    <t>salsa di pomodoro, mozzarella ﬁor di latte, salamino piccante di Sauris</t>
  </si>
  <si>
    <t>tomato sauce, fior di latte mozzarella, spicy Sauris salami</t>
  </si>
  <si>
    <t>Tomatensoße, Fior di Latte-Mozzarella, scharfe Salami aus Sauris</t>
  </si>
  <si>
    <t>Cotto e funghi</t>
  </si>
  <si>
    <t>salsa di pomodoro, mozzarella ﬁor di latte, prosciutto cotto alta qualità, funghi champignon trifolati</t>
  </si>
  <si>
    <t>tomato sauce, fior di latte mozzarella, premium cooked ham, sautéed champignon mushrooms</t>
  </si>
  <si>
    <t>Tomatensoße, Fior di Latte-Mozzarella, hochwertiger Kochschinken, sautierte Champignon-Pilze</t>
  </si>
  <si>
    <t>Viennese</t>
  </si>
  <si>
    <t>salsa di pomodoro, mozzarella ﬁor di latte, wurstel dell’Alto Adige</t>
  </si>
  <si>
    <t>tomato sauce, fior di latte mozzarella, South Tyrolean würstel</t>
  </si>
  <si>
    <t>Tomatensoße, Fior di Latte-Mozzarella, Würstel aus Südtirol</t>
  </si>
  <si>
    <t>4 formaggi</t>
  </si>
  <si>
    <t>mozzarella ﬁor di latte, gorgonzola, brie, spolverata di Grana Padano DOP</t>
  </si>
  <si>
    <t>fior di latte mozzarella, Gorgonzola, Brie, a dusting of Grana Padano DOP</t>
  </si>
  <si>
    <t>Fior di Latte-Mozzarella, Gorgonzola, Brie, bestäubt mit Grana Padano DOP</t>
  </si>
  <si>
    <t>Bresaola, rucola e grana</t>
  </si>
  <si>
    <t>pomodoro pelato italiano, mozzarella da latte 100% italiano, rucola, bresaola della Valtellina IGP, ricciola di Grana Padano riserva</t>
  </si>
  <si>
    <t>Italian peeled tomatoes, mozzarella from 100% Italian milk, arugula, Valtellina bresaola IGP, curls of aged Grana Padano</t>
  </si>
  <si>
    <t>Italienische geschälte Tomaten, Mozzarella aus 100 % italienischer Milch, Rucola, Bresaola aus dem Veltlin IGP, Grana Padano Riserva in Spänen</t>
  </si>
  <si>
    <t>Vegetariana</t>
  </si>
  <si>
    <t>pomodoro pelato italiano, mozzarella da latte 100% italiano, zucchine, peperoni, pomodorino datterino</t>
  </si>
  <si>
    <t>Italian peeled tomatoes, mozzarella from 100% Italian milk, zucchini, bell peppers, datterino cherry tomatoes</t>
  </si>
  <si>
    <t>Italienische geschälte Tomaten, Mozzarella aus 100 % italienischer Milch, Zucchini, Paprika, Datterino-Tomaten</t>
  </si>
  <si>
    <t>Romana</t>
  </si>
  <si>
    <t>pomodoro pelato italiano, mozzarella da latte 100% italiano, ﬁletti di acciughe interi, origano calabrese</t>
  </si>
  <si>
    <t>Italian peeled tomatoes, mozzarella from 100% Italian milk, whole anchovy fillets, Calabrian oregano</t>
  </si>
  <si>
    <t>Italienische geschälte Tomaten, Mozzarella aus 100 % italienischer Milch, ganze Sardellenfilets, kalabrischer Oregano</t>
  </si>
  <si>
    <t>Parmigiana</t>
  </si>
  <si>
    <t>pomodoro pelato italiano, mozzarella da latte 100% italiano, melanzane cotte in forno a bassa temperatura, parmigiano reggiano grattuggiato in cottura, basilico fresco</t>
  </si>
  <si>
    <t>Italian peeled tomatoes, mozzarella from 100% Italian milk, slow-roasted eggplant, grated Parmigiano Reggiano (cooked), fresh basil</t>
  </si>
  <si>
    <t>Italienische geschälte Tomaten, Mozzarella aus 100 % italienischer Milch, bei niedriger Temperatur gebackene Auberginen, geriebener Parmigiano Reggiano (mitgebacken), frisches Basilikum</t>
  </si>
  <si>
    <t>Prosecco DOCG extra dry</t>
  </si>
  <si>
    <t>1,2</t>
  </si>
  <si>
    <t>Prosecco DOCG brut</t>
  </si>
  <si>
    <t>Americano</t>
  </si>
  <si>
    <t>Gin Tonic</t>
  </si>
  <si>
    <t>Vodka Tonic</t>
  </si>
  <si>
    <t>Rum e cola</t>
  </si>
  <si>
    <t>Rum and cola</t>
  </si>
  <si>
    <t>Spritz Aperol</t>
  </si>
  <si>
    <t>Spritz Campari</t>
  </si>
  <si>
    <t>Spritz bianco</t>
  </si>
  <si>
    <t>White Spritz</t>
  </si>
  <si>
    <t>Gingerino biologico</t>
  </si>
  <si>
    <t>Organic ginger</t>
  </si>
  <si>
    <t>Analcolico San Michele</t>
  </si>
  <si>
    <t>Non-alcoholic San Michele</t>
  </si>
  <si>
    <t>Acqua naturale/frizzante 0,75l</t>
  </si>
  <si>
    <t>Still and sparkling water 0,75l</t>
  </si>
  <si>
    <t>Stilles/Sprudelndes Wasser 0,75l</t>
  </si>
  <si>
    <t>Coca Cola 0,3l</t>
  </si>
  <si>
    <t>Coca Cola 0,5l</t>
  </si>
  <si>
    <t>Coca Cola Zero</t>
  </si>
  <si>
    <t>Coca Cola Zero Sugar</t>
  </si>
  <si>
    <t>Fanta</t>
  </si>
  <si>
    <t>Fever Tree Tonica</t>
  </si>
  <si>
    <t>Fever Tree Tonic</t>
  </si>
  <si>
    <t>The San Benedetto in vetro</t>
  </si>
  <si>
    <t>Glass San Benedetto tea</t>
  </si>
  <si>
    <t>San Benedetto Eistee (Glasflasche)</t>
  </si>
  <si>
    <t>Coca Cola in lattina</t>
  </si>
  <si>
    <t>Birra Paulaner in bottiglia 0,33l</t>
  </si>
  <si>
    <t>Bionda Paulaner Munchner Hell</t>
  </si>
  <si>
    <t>Blonde Paulaner Munchner Hell</t>
  </si>
  <si>
    <t>Paulaner Munchner Hell</t>
  </si>
  <si>
    <t>Non Filtrata Schwechater Zwickl</t>
  </si>
  <si>
    <t>Unfiltered Schwechater Zwickl</t>
  </si>
  <si>
    <t>Schwechater Zwickl</t>
  </si>
  <si>
    <t>Rossa Paulaner Salvator</t>
  </si>
  <si>
    <t>Red Paulaner Salvator</t>
  </si>
  <si>
    <t>Paulaner Salvator</t>
  </si>
  <si>
    <t>Bianca Blanche de Namur 0,33l</t>
  </si>
  <si>
    <t>Herb Radler Cimbra 0,5l</t>
  </si>
  <si>
    <t>Weizen Andechs 0,5l</t>
  </si>
  <si>
    <t>IPA 0,33l</t>
  </si>
  <si>
    <t>Senza glutine Daura Damm 0,33l</t>
  </si>
  <si>
    <t>Gluten-Free Daura Damm 0,33L</t>
  </si>
  <si>
    <t>Glutenfrei Daura Damm 0,33l</t>
  </si>
  <si>
    <t>Analcolica Clausthaler 0,33l</t>
  </si>
  <si>
    <t>Non-Alcoholic Clausthaler 0,33L</t>
  </si>
  <si>
    <t>Alkoholfrei Clausthaler 0,33l</t>
  </si>
  <si>
    <t>1,5</t>
  </si>
  <si>
    <t>Prosecco DOCG Sbrut Riva dei Frati</t>
  </si>
  <si>
    <t>Prosecco DOCG Superiore extra dry Riva dei Frati</t>
  </si>
  <si>
    <t>Prosecco DOCG Superiore cartizze Riva dei Frati</t>
  </si>
  <si>
    <t>Lugana San Benedetto Zenato</t>
  </si>
  <si>
    <t>Incrocio Manzoni - Azienda Agricola Emilio Sartor</t>
  </si>
  <si>
    <t>Merlot - Azienda Agricola Emilio Sartor</t>
  </si>
  <si>
    <t>Franciacorta Brut Contadi Castaldi</t>
  </si>
  <si>
    <t>Rosso Veronese IGT "PACO" - Azienda Agricola Paolo Cottini</t>
  </si>
  <si>
    <t>Montello Rosso Superiore DOCG “Campo del Pra” - Azienda Agricola Emilio Sartor</t>
  </si>
  <si>
    <t>Crema al mascarpone e biscottini di frolla alle mandorle</t>
  </si>
  <si>
    <t>Mascarpone cream and almond shortcrust biscuits</t>
  </si>
  <si>
    <t>Mascarpone-Creme und Mandelkekse</t>
  </si>
  <si>
    <t>1,4</t>
  </si>
  <si>
    <t>I 3 cioccolati di Martina: crema bavarese al cioccolato bianco, latte e fondente su terra di cioccolato</t>
  </si>
  <si>
    <t>Martina's three chocolates: Bavarian cream with white, milk, and dark chocolate on the chocolate ground</t>
  </si>
  <si>
    <t>Die 3 Schokoladen von Martina: Weiße Schokoladenmousse, Milch- und dunkle Schokolade auf Schokoladenboden</t>
  </si>
  <si>
    <t>Namelaka alla yogurt greco e cioccolato bianco con composta di frutta</t>
  </si>
  <si>
    <t>Greek yogurt and white chocolate namelaka with fruit compote</t>
  </si>
  <si>
    <t>Namelaka mit griechischem Joghurt und weißer Schokolade, serviert mit Obstkompott</t>
  </si>
  <si>
    <t>Tiramisù in vasetto</t>
  </si>
  <si>
    <t>Tiramisù in a jar</t>
  </si>
  <si>
    <t>Tiramisu im Glas</t>
  </si>
  <si>
    <t>Gelato ﬁor di latte con caramello salato</t>
  </si>
  <si>
    <t>Fior di latte ice cream with salted caramel</t>
  </si>
  <si>
    <t>Fior di Latte Eis mit gesalzenem Karamell</t>
  </si>
  <si>
    <t>Sorbetto al limone *con aggiunta di limoncello o liquiriza</t>
  </si>
  <si>
    <t>Lemon sorbet * with addition of limoncello or liquiriza</t>
  </si>
  <si>
    <t>Zitronensorbet * Mit Zugabe von Limoncello oder Lakritze</t>
  </si>
  <si>
    <t>Gin Beefeater con Schweppes tonica</t>
  </si>
  <si>
    <t>Gin Beefeater with tonic Schweppes</t>
  </si>
  <si>
    <t>Kapriol Old Tom Gin con Fever Tree tonica</t>
  </si>
  <si>
    <t>Kapriol Old Tom Gin with Fever Tree tonic</t>
  </si>
  <si>
    <t>Hendrick’s Gin servito con Fever Tree tonica</t>
  </si>
  <si>
    <t>Hendrick's Gin served with Fever Tree tonic</t>
  </si>
  <si>
    <t>Vodka NBAH distillata artigianalmente a San Pietro di Feletto e Schweppes tonica</t>
  </si>
  <si>
    <t xml:space="preserve">Handcrafted distilled Vodka NBAH in San Pietro di Feletto and tonic Schweppes </t>
  </si>
  <si>
    <t>Vodka Belvedere con Fever Tree tonica</t>
  </si>
  <si>
    <t xml:space="preserve">Vodka Belvedere with Fever Tree tonic </t>
  </si>
  <si>
    <t>Beluga Vodka con Fever Tree tonica</t>
  </si>
  <si>
    <t>Beluga Vodka with Fever Tree tonic</t>
  </si>
  <si>
    <t>Rum Legendario Elixir e cola</t>
  </si>
  <si>
    <t>Legendary Rum Elixir and Cola</t>
  </si>
  <si>
    <t>Limoncello</t>
  </si>
  <si>
    <t>Liquirizia</t>
  </si>
  <si>
    <t>Licorice</t>
  </si>
  <si>
    <t>Amari: Kapriol, Amaro del Cansiglio, Amaro del Frate, Branca Menta, Fernet Branca, Montenegro, Braulio, Jagermeister, Amaro del Capo, Disaronno, Baileys, Averna, Petrus</t>
  </si>
  <si>
    <t>Liqueurs: Kapriol, Amaro del Cansiglio, Amaro del Frate, Branca Menta, Fernet Branca, Montenegro, Braulio, Jagermeister, Amaro del Capo, Disaronno, Baileys, Averna, Petrus</t>
  </si>
  <si>
    <t>Jefferson - Amaro Importante</t>
  </si>
  <si>
    <t>Braulio Riserva Speciale</t>
  </si>
  <si>
    <t>Whisky Single Malt - Glenﬁddich 12 anni</t>
  </si>
  <si>
    <t>Single Malt Whiskey - Glenﬁddich 12 years</t>
  </si>
  <si>
    <t>Whisky Single Malt - Laphroaig Select</t>
  </si>
  <si>
    <t>Single Malt Whiskey - Laphroaig Select</t>
  </si>
  <si>
    <t>Rum Legendario Elixir de Cuba</t>
  </si>
  <si>
    <t>Rum Zacapa Solera 23 anni servito con scaglie di cioccolato fondente</t>
  </si>
  <si>
    <t>Rum Zacapa Solera 23 years served with dark chocolate flakes</t>
  </si>
  <si>
    <t>Grappa bianca San Michele (prodotto locale distillato a San Pietro di Feletto)</t>
  </si>
  <si>
    <t>San Michele white grappa (local product distilled in San Pietro di Feletto)</t>
  </si>
  <si>
    <t>Grappa 903 bianca o barricata</t>
  </si>
  <si>
    <t>Grappa 903 white or barricaded</t>
  </si>
  <si>
    <t>Grappa di Barolo barricata</t>
  </si>
  <si>
    <t>Barricaded Barolo Grappa</t>
  </si>
  <si>
    <t>Barricata Da Ponte invecchiata 8 anni</t>
  </si>
  <si>
    <t>Barricata Da Ponte aged 8 years</t>
  </si>
  <si>
    <t>Storica nera</t>
  </si>
  <si>
    <t>Caffè espresso</t>
  </si>
  <si>
    <t>Espresso</t>
  </si>
  <si>
    <t>Caffè macchiato</t>
  </si>
  <si>
    <t>Macchiato</t>
  </si>
  <si>
    <t>Caffè decaffeinato</t>
  </si>
  <si>
    <t>Decaffeinated coffee</t>
  </si>
  <si>
    <t>Caffè orzo</t>
  </si>
  <si>
    <t>Coffee barley</t>
  </si>
  <si>
    <t>Caffè corretto</t>
  </si>
  <si>
    <t>Coffee with alcohol</t>
  </si>
  <si>
    <t>Caffè doppio</t>
  </si>
  <si>
    <t>Double espresso</t>
  </si>
  <si>
    <t>Specialty</t>
  </si>
  <si>
    <t>Classic</t>
  </si>
  <si>
    <t>Aperitif</t>
  </si>
  <si>
    <t>Drink</t>
  </si>
  <si>
    <t>DraftBeer</t>
  </si>
  <si>
    <t>BottleBeer</t>
  </si>
  <si>
    <t>Wine</t>
  </si>
  <si>
    <t>Cake</t>
  </si>
  <si>
    <t>Cocktail</t>
  </si>
  <si>
    <t>Digestif</t>
  </si>
  <si>
    <t>Grappa</t>
  </si>
  <si>
    <t>Coffee</t>
  </si>
  <si>
    <t>Complete</t>
  </si>
  <si>
    <t>Table</t>
  </si>
  <si>
    <t>TakeAway</t>
  </si>
  <si>
    <t>Dessert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</si>
</sst>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/>
    <xf numFmtId="164" fontId="0" fillId="0" borderId="0" xfId="0" applyNumberFormat="1" applyAlignment="1"/>
    <xf numFmtId="49" fontId="0" fillId="0" borderId="0" xfId="0" applyNumberFormat="1" applyAlignment="1"/>
    <xf numFmtId="0" fontId="1" fillId="0" borderId="0" xfId="0" applyFont="1" applyAlignment="1"/>
    <xf numFmtId="0" fontId="0" fillId="2" borderId="0" xfId="0" applyFill="1" applyAlignment="1"/>
    <xf numFmtId="0" fontId="1" fillId="0" borderId="0" xfId="0" applyFont="1" applyFill="1" applyAlignment="1"/>
    <xf numFmtId="0" fontId="0" fillId="0" borderId="0" xfId="0" applyFill="1" applyAlignment="1"/>
    <xf numFmtId="164" fontId="0" fillId="0" borderId="0" xfId="0" applyNumberFormat="1" applyFill="1" applyAlignment="1"/>
    <xf numFmtId="49" fontId="0" fillId="0" borderId="0" xfId="0" applyNumberFormat="1" applyFill="1" applyAlignment="1"/>
    <xf numFmtId="0" fontId="2" fillId="0" borderId="0" xfId="0" applyFont="1" applyFill="1" applyAlignment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tabSelected="1" workbookViewId="0">
      <pane xSplit="2" topLeftCell="C1" activePane="topRight" state="frozen"/>
      <selection pane="topRight" activeCell="A11" sqref="A11:XFD11"/>
    </sheetView>
  </sheetViews>
  <sheetFormatPr defaultRowHeight="15"/>
  <cols>
    <col min="1" max="1" width="9.140625" style="2"/>
    <col min="2" max="2" width="36.5703125" style="2" bestFit="1" customWidth="1"/>
    <col min="3" max="3" width="43.140625" style="2" customWidth="1"/>
    <col min="4" max="5" width="36.5703125" style="2" bestFit="1" customWidth="1"/>
    <col min="6" max="6" width="10" style="3" bestFit="1" customWidth="1"/>
    <col min="7" max="7" width="12" style="3" bestFit="1" customWidth="1"/>
    <col min="8" max="9" width="9.140625" style="2"/>
    <col min="10" max="10" width="13.85546875" style="2" bestFit="1" customWidth="1"/>
    <col min="11" max="11" width="11.28515625" style="2" bestFit="1" customWidth="1"/>
    <col min="12" max="12" width="13.28515625" style="4" bestFit="1" customWidth="1"/>
    <col min="13" max="16384" width="9.140625" style="2"/>
  </cols>
  <sheetData>
    <row r="1" spans="1:12" s="5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s="6" customFormat="1">
      <c r="A2" s="8">
        <v>1</v>
      </c>
      <c r="B2" s="8" t="s">
        <v>12</v>
      </c>
      <c r="C2" s="8" t="s">
        <v>13</v>
      </c>
      <c r="D2" s="8" t="s">
        <v>14</v>
      </c>
      <c r="E2" s="8" t="s">
        <v>15</v>
      </c>
      <c r="F2" s="9">
        <v>6.5</v>
      </c>
      <c r="G2" s="9"/>
      <c r="H2" s="8">
        <v>1</v>
      </c>
      <c r="I2" s="8">
        <v>1</v>
      </c>
      <c r="J2" s="8" t="str">
        <f>VLOOKUP(I2, MenuSections!$A$2:$B$13, 2, FALSE)</f>
        <v>Specialty</v>
      </c>
      <c r="K2" s="8"/>
      <c r="L2" s="10" t="s">
        <v>16</v>
      </c>
    </row>
    <row r="3" spans="1:12" s="6" customFormat="1">
      <c r="A3" s="8">
        <v>2</v>
      </c>
      <c r="B3" s="8" t="s">
        <v>17</v>
      </c>
      <c r="C3" s="8" t="s">
        <v>18</v>
      </c>
      <c r="D3" s="8" t="s">
        <v>19</v>
      </c>
      <c r="E3" s="8" t="s">
        <v>20</v>
      </c>
      <c r="F3" s="9">
        <v>10.5</v>
      </c>
      <c r="G3" s="9"/>
      <c r="H3" s="8">
        <v>2</v>
      </c>
      <c r="I3" s="8">
        <v>1</v>
      </c>
      <c r="J3" s="8" t="str">
        <f>VLOOKUP(I3, MenuSections!$A$2:$B$13, 2, FALSE)</f>
        <v>Specialty</v>
      </c>
      <c r="K3" s="8"/>
      <c r="L3" s="10" t="s">
        <v>16</v>
      </c>
    </row>
    <row r="4" spans="1:12" s="6" customFormat="1">
      <c r="A4" s="8">
        <v>3</v>
      </c>
      <c r="B4" s="8" t="s">
        <v>21</v>
      </c>
      <c r="C4" s="8" t="s">
        <v>22</v>
      </c>
      <c r="D4" s="8" t="s">
        <v>23</v>
      </c>
      <c r="E4" s="8" t="s">
        <v>24</v>
      </c>
      <c r="F4" s="9">
        <v>12.5</v>
      </c>
      <c r="G4" s="9"/>
      <c r="H4" s="8">
        <v>3</v>
      </c>
      <c r="I4" s="8">
        <v>1</v>
      </c>
      <c r="J4" s="8" t="str">
        <f>VLOOKUP(I4, MenuSections!$A$2:$B$13, 2, FALSE)</f>
        <v>Specialty</v>
      </c>
      <c r="K4" s="8"/>
      <c r="L4" s="10" t="s">
        <v>16</v>
      </c>
    </row>
    <row r="5" spans="1:12" s="6" customFormat="1">
      <c r="A5" s="8">
        <v>4</v>
      </c>
      <c r="B5" s="8" t="s">
        <v>25</v>
      </c>
      <c r="C5" s="8" t="s">
        <v>26</v>
      </c>
      <c r="D5" s="8" t="s">
        <v>27</v>
      </c>
      <c r="E5" s="8" t="s">
        <v>28</v>
      </c>
      <c r="F5" s="9">
        <v>12.5</v>
      </c>
      <c r="G5" s="9"/>
      <c r="H5" s="8">
        <v>4</v>
      </c>
      <c r="I5" s="8">
        <v>1</v>
      </c>
      <c r="J5" s="8" t="str">
        <f>VLOOKUP(I5, MenuSections!$A$2:$B$13, 2, FALSE)</f>
        <v>Specialty</v>
      </c>
      <c r="K5" s="8"/>
      <c r="L5" s="10" t="s">
        <v>16</v>
      </c>
    </row>
    <row r="6" spans="1:12" s="6" customFormat="1">
      <c r="A6" s="8">
        <v>5</v>
      </c>
      <c r="B6" s="8" t="s">
        <v>29</v>
      </c>
      <c r="C6" s="8" t="s">
        <v>30</v>
      </c>
      <c r="D6" s="8" t="s">
        <v>31</v>
      </c>
      <c r="E6" s="8" t="s">
        <v>32</v>
      </c>
      <c r="F6" s="9">
        <v>11.5</v>
      </c>
      <c r="G6" s="9"/>
      <c r="H6" s="8">
        <v>5</v>
      </c>
      <c r="I6" s="8">
        <v>1</v>
      </c>
      <c r="J6" s="8" t="str">
        <f>VLOOKUP(I6, MenuSections!$A$2:$B$13, 2, FALSE)</f>
        <v>Specialty</v>
      </c>
      <c r="K6" s="8"/>
      <c r="L6" s="10" t="s">
        <v>16</v>
      </c>
    </row>
    <row r="7" spans="1:12" s="6" customFormat="1">
      <c r="A7" s="8">
        <v>6</v>
      </c>
      <c r="B7" s="8" t="s">
        <v>33</v>
      </c>
      <c r="C7" s="8" t="s">
        <v>34</v>
      </c>
      <c r="D7" s="8" t="s">
        <v>35</v>
      </c>
      <c r="E7" s="8" t="s">
        <v>36</v>
      </c>
      <c r="F7" s="9">
        <v>13</v>
      </c>
      <c r="G7" s="9"/>
      <c r="H7" s="8">
        <v>6</v>
      </c>
      <c r="I7" s="8">
        <v>1</v>
      </c>
      <c r="J7" s="8" t="str">
        <f>VLOOKUP(I7, MenuSections!$A$2:$B$13, 2, FALSE)</f>
        <v>Specialty</v>
      </c>
      <c r="K7" s="8"/>
      <c r="L7" s="10" t="s">
        <v>16</v>
      </c>
    </row>
    <row r="8" spans="1:12">
      <c r="A8" s="8">
        <v>7</v>
      </c>
      <c r="B8" s="8" t="s">
        <v>37</v>
      </c>
      <c r="C8" s="8" t="s">
        <v>38</v>
      </c>
      <c r="D8" s="8" t="s">
        <v>39</v>
      </c>
      <c r="E8" s="8" t="s">
        <v>40</v>
      </c>
      <c r="F8" s="9">
        <v>11.5</v>
      </c>
      <c r="G8" s="9"/>
      <c r="H8" s="8">
        <v>7</v>
      </c>
      <c r="I8" s="8">
        <v>1</v>
      </c>
      <c r="J8" s="8" t="str">
        <f>VLOOKUP(I8, MenuSections!$A$2:$B$13, 2, FALSE)</f>
        <v>Specialty</v>
      </c>
      <c r="K8" s="8"/>
      <c r="L8" s="10" t="s">
        <v>16</v>
      </c>
    </row>
    <row r="9" spans="1:12">
      <c r="A9" s="8">
        <v>8</v>
      </c>
      <c r="B9" s="8" t="s">
        <v>41</v>
      </c>
      <c r="C9" s="8" t="s">
        <v>42</v>
      </c>
      <c r="D9" s="8" t="s">
        <v>43</v>
      </c>
      <c r="E9" s="8" t="s">
        <v>44</v>
      </c>
      <c r="F9" s="9">
        <v>12</v>
      </c>
      <c r="G9" s="9"/>
      <c r="H9" s="8">
        <v>8</v>
      </c>
      <c r="I9" s="8">
        <v>1</v>
      </c>
      <c r="J9" s="8" t="str">
        <f>VLOOKUP(I9, MenuSections!$A$2:$B$13, 2, FALSE)</f>
        <v>Specialty</v>
      </c>
      <c r="K9" s="8"/>
      <c r="L9" s="10" t="s">
        <v>16</v>
      </c>
    </row>
    <row r="10" spans="1:12">
      <c r="A10" s="8">
        <v>9</v>
      </c>
      <c r="B10" s="8" t="s">
        <v>45</v>
      </c>
      <c r="C10" s="8" t="s">
        <v>46</v>
      </c>
      <c r="D10" s="8" t="s">
        <v>47</v>
      </c>
      <c r="E10" s="8" t="s">
        <v>48</v>
      </c>
      <c r="F10" s="9">
        <v>13</v>
      </c>
      <c r="G10" s="9"/>
      <c r="H10" s="8">
        <v>9</v>
      </c>
      <c r="I10" s="8">
        <v>1</v>
      </c>
      <c r="J10" s="8" t="str">
        <f>VLOOKUP(I10, MenuSections!$A$2:$B$13, 2, FALSE)</f>
        <v>Specialty</v>
      </c>
      <c r="K10" s="8"/>
      <c r="L10" s="10" t="s">
        <v>16</v>
      </c>
    </row>
    <row r="11" spans="1:12">
      <c r="A11" s="8">
        <v>10</v>
      </c>
      <c r="B11" s="8" t="s">
        <v>49</v>
      </c>
      <c r="C11" s="8" t="s">
        <v>50</v>
      </c>
      <c r="D11" s="8" t="s">
        <v>51</v>
      </c>
      <c r="E11" s="8" t="s">
        <v>52</v>
      </c>
      <c r="F11" s="9">
        <v>13</v>
      </c>
      <c r="G11" s="9"/>
      <c r="H11" s="8">
        <v>10</v>
      </c>
      <c r="I11" s="8">
        <v>1</v>
      </c>
      <c r="J11" s="8" t="str">
        <f>VLOOKUP(I11, MenuSections!$A$2:$B$13, 2, FALSE)</f>
        <v>Specialty</v>
      </c>
      <c r="K11" s="8"/>
      <c r="L11" s="10" t="s">
        <v>16</v>
      </c>
    </row>
    <row r="12" spans="1:12" s="6" customFormat="1">
      <c r="A12" s="8">
        <v>11</v>
      </c>
      <c r="B12" s="8" t="s">
        <v>53</v>
      </c>
      <c r="C12" s="8" t="s">
        <v>54</v>
      </c>
      <c r="D12" s="8" t="s">
        <v>55</v>
      </c>
      <c r="E12" s="8" t="s">
        <v>56</v>
      </c>
      <c r="F12" s="9">
        <v>13</v>
      </c>
      <c r="G12" s="9"/>
      <c r="H12" s="8">
        <v>11</v>
      </c>
      <c r="I12" s="8">
        <v>1</v>
      </c>
      <c r="J12" s="8" t="str">
        <f>VLOOKUP(I12, MenuSections!$A$2:$B$13, 2, FALSE)</f>
        <v>Specialty</v>
      </c>
      <c r="K12" s="8"/>
      <c r="L12" s="10" t="s">
        <v>16</v>
      </c>
    </row>
    <row r="13" spans="1:12" s="6" customFormat="1">
      <c r="A13" s="8">
        <v>12</v>
      </c>
      <c r="B13" s="8" t="s">
        <v>57</v>
      </c>
      <c r="C13" s="8" t="s">
        <v>58</v>
      </c>
      <c r="D13" s="8" t="s">
        <v>59</v>
      </c>
      <c r="E13" s="8" t="s">
        <v>60</v>
      </c>
      <c r="F13" s="9">
        <v>10.5</v>
      </c>
      <c r="G13" s="9"/>
      <c r="H13" s="8">
        <v>12</v>
      </c>
      <c r="I13" s="8">
        <v>2</v>
      </c>
      <c r="J13" s="8" t="str">
        <f>VLOOKUP(I13, MenuSections!$A$2:$B$13, 2, FALSE)</f>
        <v>Classic</v>
      </c>
      <c r="K13" s="8"/>
      <c r="L13" s="10" t="s">
        <v>16</v>
      </c>
    </row>
    <row r="14" spans="1:12" s="6" customFormat="1">
      <c r="A14" s="8">
        <v>13</v>
      </c>
      <c r="B14" s="8" t="s">
        <v>61</v>
      </c>
      <c r="C14" s="8" t="s">
        <v>62</v>
      </c>
      <c r="D14" s="8" t="s">
        <v>63</v>
      </c>
      <c r="E14" s="8" t="s">
        <v>64</v>
      </c>
      <c r="F14" s="9">
        <v>9</v>
      </c>
      <c r="G14" s="9"/>
      <c r="H14" s="8">
        <v>13</v>
      </c>
      <c r="I14" s="8">
        <v>2</v>
      </c>
      <c r="J14" s="8" t="str">
        <f>VLOOKUP(I14, MenuSections!$A$2:$B$13, 2, FALSE)</f>
        <v>Classic</v>
      </c>
      <c r="K14" s="8"/>
      <c r="L14" s="10" t="s">
        <v>16</v>
      </c>
    </row>
    <row r="15" spans="1:12" s="6" customFormat="1">
      <c r="A15" s="8">
        <v>14</v>
      </c>
      <c r="B15" s="8" t="s">
        <v>65</v>
      </c>
      <c r="C15" s="8" t="s">
        <v>66</v>
      </c>
      <c r="D15" s="8" t="s">
        <v>67</v>
      </c>
      <c r="E15" s="8" t="s">
        <v>68</v>
      </c>
      <c r="F15" s="9">
        <v>9.5</v>
      </c>
      <c r="G15" s="9"/>
      <c r="H15" s="8">
        <v>14</v>
      </c>
      <c r="I15" s="8">
        <v>2</v>
      </c>
      <c r="J15" s="8" t="str">
        <f>VLOOKUP(I15, MenuSections!$A$2:$B$13, 2, FALSE)</f>
        <v>Classic</v>
      </c>
      <c r="K15" s="8"/>
      <c r="L15" s="10" t="s">
        <v>16</v>
      </c>
    </row>
    <row r="16" spans="1:12">
      <c r="A16" s="8">
        <v>15</v>
      </c>
      <c r="B16" s="8" t="s">
        <v>69</v>
      </c>
      <c r="C16" s="8" t="s">
        <v>70</v>
      </c>
      <c r="D16" s="8" t="s">
        <v>71</v>
      </c>
      <c r="E16" s="8" t="s">
        <v>72</v>
      </c>
      <c r="F16" s="9">
        <v>8.5</v>
      </c>
      <c r="G16" s="9"/>
      <c r="H16" s="8">
        <v>15</v>
      </c>
      <c r="I16" s="8">
        <v>2</v>
      </c>
      <c r="J16" s="8" t="str">
        <f>VLOOKUP(I16, MenuSections!$A$2:$B$13, 2, FALSE)</f>
        <v>Classic</v>
      </c>
      <c r="K16" s="8"/>
      <c r="L16" s="10" t="s">
        <v>16</v>
      </c>
    </row>
    <row r="17" spans="1:12" s="6" customFormat="1">
      <c r="A17" s="8">
        <v>16</v>
      </c>
      <c r="B17" s="8" t="s">
        <v>73</v>
      </c>
      <c r="C17" s="8" t="s">
        <v>74</v>
      </c>
      <c r="D17" s="8" t="s">
        <v>75</v>
      </c>
      <c r="E17" s="8" t="s">
        <v>76</v>
      </c>
      <c r="F17" s="9">
        <v>10.5</v>
      </c>
      <c r="G17" s="9"/>
      <c r="H17" s="8">
        <v>16</v>
      </c>
      <c r="I17" s="8">
        <v>2</v>
      </c>
      <c r="J17" s="8" t="str">
        <f>VLOOKUP(I17, MenuSections!$A$2:$B$13, 2, FALSE)</f>
        <v>Classic</v>
      </c>
      <c r="K17" s="8"/>
      <c r="L17" s="10" t="s">
        <v>16</v>
      </c>
    </row>
    <row r="18" spans="1:12">
      <c r="A18" s="8">
        <v>17</v>
      </c>
      <c r="B18" s="8" t="s">
        <v>77</v>
      </c>
      <c r="C18" s="8" t="s">
        <v>78</v>
      </c>
      <c r="D18" s="8" t="s">
        <v>79</v>
      </c>
      <c r="E18" s="8" t="s">
        <v>80</v>
      </c>
      <c r="F18" s="9">
        <v>12</v>
      </c>
      <c r="G18" s="9"/>
      <c r="H18" s="8">
        <v>17</v>
      </c>
      <c r="I18" s="8">
        <v>2</v>
      </c>
      <c r="J18" s="8" t="str">
        <f>VLOOKUP(I18, MenuSections!$A$2:$B$13, 2, FALSE)</f>
        <v>Classic</v>
      </c>
      <c r="K18" s="8"/>
      <c r="L18" s="10" t="s">
        <v>16</v>
      </c>
    </row>
    <row r="19" spans="1:12">
      <c r="A19" s="8">
        <v>18</v>
      </c>
      <c r="B19" s="8" t="s">
        <v>81</v>
      </c>
      <c r="C19" s="8" t="s">
        <v>82</v>
      </c>
      <c r="D19" s="8" t="s">
        <v>83</v>
      </c>
      <c r="E19" s="8" t="s">
        <v>84</v>
      </c>
      <c r="F19" s="9">
        <v>10.5</v>
      </c>
      <c r="G19" s="9"/>
      <c r="H19" s="8">
        <v>18</v>
      </c>
      <c r="I19" s="8">
        <v>2</v>
      </c>
      <c r="J19" s="8" t="str">
        <f>VLOOKUP(I19, MenuSections!$A$2:$B$13, 2, FALSE)</f>
        <v>Classic</v>
      </c>
      <c r="K19" s="8"/>
      <c r="L19" s="10" t="s">
        <v>16</v>
      </c>
    </row>
    <row r="20" spans="1:12" s="6" customFormat="1">
      <c r="A20" s="8">
        <v>19</v>
      </c>
      <c r="B20" s="8" t="s">
        <v>85</v>
      </c>
      <c r="C20" s="8" t="s">
        <v>86</v>
      </c>
      <c r="D20" s="8" t="s">
        <v>87</v>
      </c>
      <c r="E20" s="8" t="s">
        <v>88</v>
      </c>
      <c r="F20" s="9">
        <v>10</v>
      </c>
      <c r="G20" s="9"/>
      <c r="H20" s="8">
        <v>19</v>
      </c>
      <c r="I20" s="8">
        <v>2</v>
      </c>
      <c r="J20" s="8" t="str">
        <f>VLOOKUP(I20, MenuSections!$A$2:$B$13, 2, FALSE)</f>
        <v>Classic</v>
      </c>
      <c r="K20" s="8"/>
      <c r="L20" s="10" t="s">
        <v>16</v>
      </c>
    </row>
    <row r="21" spans="1:12" s="6" customFormat="1">
      <c r="A21" s="8">
        <v>20</v>
      </c>
      <c r="B21" s="8" t="s">
        <v>89</v>
      </c>
      <c r="C21" s="8" t="s">
        <v>90</v>
      </c>
      <c r="D21" s="8" t="s">
        <v>91</v>
      </c>
      <c r="E21" s="8" t="s">
        <v>92</v>
      </c>
      <c r="F21" s="9">
        <v>11</v>
      </c>
      <c r="G21" s="9"/>
      <c r="H21" s="8">
        <v>20</v>
      </c>
      <c r="I21" s="8">
        <v>2</v>
      </c>
      <c r="J21" s="8" t="str">
        <f>VLOOKUP(I21, MenuSections!$A$2:$B$13, 2, FALSE)</f>
        <v>Classic</v>
      </c>
      <c r="K21" s="8"/>
      <c r="L21" s="10" t="s">
        <v>16</v>
      </c>
    </row>
    <row r="22" spans="1:12">
      <c r="A22" s="8">
        <v>21</v>
      </c>
      <c r="B22" s="8" t="s">
        <v>93</v>
      </c>
      <c r="C22" s="8"/>
      <c r="D22" s="8" t="s">
        <v>93</v>
      </c>
      <c r="E22" s="8"/>
      <c r="F22" s="9">
        <v>3.5</v>
      </c>
      <c r="G22" s="9"/>
      <c r="H22" s="8">
        <v>21</v>
      </c>
      <c r="I22" s="8">
        <v>3</v>
      </c>
      <c r="J22" s="8" t="str">
        <f>VLOOKUP(I22, MenuSections!$A$2:$B$13, 2, FALSE)</f>
        <v>Aperitif</v>
      </c>
      <c r="K22" s="8"/>
      <c r="L22" s="10" t="s">
        <v>94</v>
      </c>
    </row>
    <row r="23" spans="1:12">
      <c r="A23" s="8">
        <v>22</v>
      </c>
      <c r="B23" s="8" t="s">
        <v>95</v>
      </c>
      <c r="C23" s="8"/>
      <c r="D23" s="8" t="s">
        <v>95</v>
      </c>
      <c r="E23" s="8"/>
      <c r="F23" s="9">
        <v>3.5</v>
      </c>
      <c r="G23" s="9"/>
      <c r="H23" s="8">
        <v>22</v>
      </c>
      <c r="I23" s="8">
        <v>3</v>
      </c>
      <c r="J23" s="8" t="str">
        <f>VLOOKUP(I23, MenuSections!$A$2:$B$13, 2, FALSE)</f>
        <v>Aperitif</v>
      </c>
      <c r="K23" s="8"/>
      <c r="L23" s="10" t="s">
        <v>94</v>
      </c>
    </row>
    <row r="24" spans="1:12" s="6" customFormat="1">
      <c r="A24" s="8">
        <v>23</v>
      </c>
      <c r="B24" s="8" t="s">
        <v>96</v>
      </c>
      <c r="C24" s="8"/>
      <c r="D24" s="8" t="s">
        <v>96</v>
      </c>
      <c r="E24" s="8"/>
      <c r="F24" s="9">
        <v>6</v>
      </c>
      <c r="G24" s="9"/>
      <c r="H24" s="8">
        <v>23</v>
      </c>
      <c r="I24" s="8">
        <v>3</v>
      </c>
      <c r="J24" s="8" t="str">
        <f>VLOOKUP(I24, MenuSections!$A$2:$B$13, 2, FALSE)</f>
        <v>Aperitif</v>
      </c>
      <c r="K24" s="8"/>
      <c r="L24" s="10" t="s">
        <v>94</v>
      </c>
    </row>
    <row r="25" spans="1:12" s="6" customFormat="1">
      <c r="A25" s="8">
        <v>24</v>
      </c>
      <c r="B25" s="8" t="s">
        <v>97</v>
      </c>
      <c r="C25" s="8"/>
      <c r="D25" s="8" t="s">
        <v>97</v>
      </c>
      <c r="E25" s="8"/>
      <c r="F25" s="9">
        <v>7.5</v>
      </c>
      <c r="G25" s="9">
        <v>10</v>
      </c>
      <c r="H25" s="8">
        <v>24</v>
      </c>
      <c r="I25" s="8">
        <v>3</v>
      </c>
      <c r="J25" s="8" t="str">
        <f>VLOOKUP(I25, MenuSections!$A$2:$B$13, 2, FALSE)</f>
        <v>Aperitif</v>
      </c>
      <c r="K25" s="8"/>
      <c r="L25" s="10" t="s">
        <v>94</v>
      </c>
    </row>
    <row r="26" spans="1:12" s="6" customFormat="1">
      <c r="A26" s="8">
        <v>25</v>
      </c>
      <c r="B26" s="8" t="s">
        <v>98</v>
      </c>
      <c r="C26" s="8"/>
      <c r="D26" s="8" t="s">
        <v>98</v>
      </c>
      <c r="E26" s="8"/>
      <c r="F26" s="9">
        <v>7.5</v>
      </c>
      <c r="G26" s="9">
        <v>10</v>
      </c>
      <c r="H26" s="8">
        <v>25</v>
      </c>
      <c r="I26" s="8">
        <v>3</v>
      </c>
      <c r="J26" s="8" t="str">
        <f>VLOOKUP(I26, MenuSections!$A$2:$B$13, 2, FALSE)</f>
        <v>Aperitif</v>
      </c>
      <c r="K26" s="8"/>
      <c r="L26" s="10" t="s">
        <v>94</v>
      </c>
    </row>
    <row r="27" spans="1:12">
      <c r="A27" s="8">
        <v>26</v>
      </c>
      <c r="B27" s="8" t="s">
        <v>99</v>
      </c>
      <c r="C27" s="8"/>
      <c r="D27" s="8" t="s">
        <v>100</v>
      </c>
      <c r="E27" s="8"/>
      <c r="F27" s="9">
        <v>8.5</v>
      </c>
      <c r="G27" s="9"/>
      <c r="H27" s="8">
        <v>26</v>
      </c>
      <c r="I27" s="8">
        <v>3</v>
      </c>
      <c r="J27" s="8" t="str">
        <f>VLOOKUP(I27, MenuSections!$A$2:$B$13, 2, FALSE)</f>
        <v>Aperitif</v>
      </c>
      <c r="K27" s="8"/>
      <c r="L27" s="10" t="s">
        <v>94</v>
      </c>
    </row>
    <row r="28" spans="1:12">
      <c r="A28" s="8">
        <v>27</v>
      </c>
      <c r="B28" s="8" t="s">
        <v>101</v>
      </c>
      <c r="C28" s="8"/>
      <c r="D28" s="8" t="s">
        <v>101</v>
      </c>
      <c r="E28" s="8"/>
      <c r="F28" s="9">
        <v>4</v>
      </c>
      <c r="G28" s="9"/>
      <c r="H28" s="8">
        <v>27</v>
      </c>
      <c r="I28" s="8">
        <v>3</v>
      </c>
      <c r="J28" s="8" t="str">
        <f>VLOOKUP(I28, MenuSections!$A$2:$B$13, 2, FALSE)</f>
        <v>Aperitif</v>
      </c>
      <c r="K28" s="8"/>
      <c r="L28" s="10" t="s">
        <v>94</v>
      </c>
    </row>
    <row r="29" spans="1:12">
      <c r="A29" s="8">
        <v>28</v>
      </c>
      <c r="B29" s="8" t="s">
        <v>102</v>
      </c>
      <c r="C29" s="8"/>
      <c r="D29" s="8" t="s">
        <v>102</v>
      </c>
      <c r="E29" s="8"/>
      <c r="F29" s="9">
        <v>4</v>
      </c>
      <c r="G29" s="9"/>
      <c r="H29" s="8">
        <v>28</v>
      </c>
      <c r="I29" s="8">
        <v>3</v>
      </c>
      <c r="J29" s="8" t="str">
        <f>VLOOKUP(I29, MenuSections!$A$2:$B$13, 2, FALSE)</f>
        <v>Aperitif</v>
      </c>
      <c r="K29" s="8"/>
      <c r="L29" s="10" t="s">
        <v>94</v>
      </c>
    </row>
    <row r="30" spans="1:12" s="6" customFormat="1">
      <c r="A30" s="8">
        <v>29</v>
      </c>
      <c r="B30" s="8" t="s">
        <v>103</v>
      </c>
      <c r="C30" s="8"/>
      <c r="D30" s="8" t="s">
        <v>104</v>
      </c>
      <c r="E30" s="8"/>
      <c r="F30" s="9">
        <v>3.5</v>
      </c>
      <c r="G30" s="9"/>
      <c r="H30" s="8">
        <v>29</v>
      </c>
      <c r="I30" s="8">
        <v>3</v>
      </c>
      <c r="J30" s="8" t="str">
        <f>VLOOKUP(I30, MenuSections!$A$2:$B$13, 2, FALSE)</f>
        <v>Aperitif</v>
      </c>
      <c r="K30" s="8"/>
      <c r="L30" s="10" t="s">
        <v>94</v>
      </c>
    </row>
    <row r="31" spans="1:12">
      <c r="A31" s="8">
        <v>30</v>
      </c>
      <c r="B31" s="8" t="s">
        <v>105</v>
      </c>
      <c r="C31" s="8"/>
      <c r="D31" s="8" t="s">
        <v>106</v>
      </c>
      <c r="E31" s="8"/>
      <c r="F31" s="9">
        <v>3.5</v>
      </c>
      <c r="G31" s="9"/>
      <c r="H31" s="8">
        <v>30</v>
      </c>
      <c r="I31" s="8">
        <v>3</v>
      </c>
      <c r="J31" s="8" t="str">
        <f>VLOOKUP(I31, MenuSections!$A$2:$B$13, 2, FALSE)</f>
        <v>Aperitif</v>
      </c>
      <c r="K31" s="8"/>
      <c r="L31" s="10" t="s">
        <v>94</v>
      </c>
    </row>
    <row r="32" spans="1:12">
      <c r="A32" s="8">
        <v>31</v>
      </c>
      <c r="B32" s="8" t="s">
        <v>107</v>
      </c>
      <c r="C32" s="8"/>
      <c r="D32" s="8" t="s">
        <v>108</v>
      </c>
      <c r="E32" s="8"/>
      <c r="F32" s="9">
        <v>3.5</v>
      </c>
      <c r="G32" s="9"/>
      <c r="H32" s="8">
        <v>31</v>
      </c>
      <c r="I32" s="8">
        <v>3</v>
      </c>
      <c r="J32" s="8" t="str">
        <f>VLOOKUP(I32, MenuSections!$A$2:$B$13, 2, FALSE)</f>
        <v>Aperitif</v>
      </c>
      <c r="K32" s="8"/>
      <c r="L32" s="10" t="s">
        <v>94</v>
      </c>
    </row>
    <row r="33" spans="1:12" s="6" customFormat="1">
      <c r="A33" s="8">
        <v>32</v>
      </c>
      <c r="B33" s="8" t="s">
        <v>109</v>
      </c>
      <c r="C33" s="8"/>
      <c r="D33" s="8" t="s">
        <v>110</v>
      </c>
      <c r="E33" s="8" t="s">
        <v>111</v>
      </c>
      <c r="F33" s="9">
        <v>3.5</v>
      </c>
      <c r="G33" s="9"/>
      <c r="H33" s="8">
        <v>32</v>
      </c>
      <c r="I33" s="8">
        <v>4</v>
      </c>
      <c r="J33" s="8" t="str">
        <f>VLOOKUP(I33, MenuSections!$A$2:$B$13, 2, FALSE)</f>
        <v>Drink</v>
      </c>
      <c r="K33" s="8"/>
      <c r="L33" s="10" t="s">
        <v>94</v>
      </c>
    </row>
    <row r="34" spans="1:12" s="6" customFormat="1">
      <c r="A34" s="8">
        <v>33</v>
      </c>
      <c r="B34" s="8" t="s">
        <v>112</v>
      </c>
      <c r="C34" s="8"/>
      <c r="D34" s="8"/>
      <c r="E34" s="8"/>
      <c r="F34" s="9">
        <v>3.5</v>
      </c>
      <c r="G34" s="9"/>
      <c r="H34" s="8">
        <v>33</v>
      </c>
      <c r="I34" s="8">
        <v>4</v>
      </c>
      <c r="J34" s="8" t="str">
        <f>VLOOKUP(I34, MenuSections!$A$2:$B$13, 2, FALSE)</f>
        <v>Drink</v>
      </c>
      <c r="K34" s="8"/>
      <c r="L34" s="10" t="s">
        <v>94</v>
      </c>
    </row>
    <row r="35" spans="1:12" s="6" customFormat="1">
      <c r="A35" s="8">
        <v>34</v>
      </c>
      <c r="B35" s="8" t="s">
        <v>113</v>
      </c>
      <c r="C35" s="8"/>
      <c r="D35" s="8"/>
      <c r="E35" s="8"/>
      <c r="F35" s="9">
        <v>5</v>
      </c>
      <c r="G35" s="9"/>
      <c r="H35" s="8">
        <v>34</v>
      </c>
      <c r="I35" s="8">
        <v>4</v>
      </c>
      <c r="J35" s="8" t="str">
        <f>VLOOKUP(I35, MenuSections!$A$2:$B$13, 2, FALSE)</f>
        <v>Drink</v>
      </c>
      <c r="K35" s="8"/>
      <c r="L35" s="10" t="s">
        <v>94</v>
      </c>
    </row>
    <row r="36" spans="1:12">
      <c r="A36" s="8">
        <v>35</v>
      </c>
      <c r="B36" s="8" t="s">
        <v>114</v>
      </c>
      <c r="C36" s="8"/>
      <c r="D36" s="8" t="s">
        <v>115</v>
      </c>
      <c r="E36" s="8"/>
      <c r="F36" s="9">
        <v>3.5</v>
      </c>
      <c r="G36" s="9"/>
      <c r="H36" s="8">
        <v>35</v>
      </c>
      <c r="I36" s="8">
        <v>4</v>
      </c>
      <c r="J36" s="8" t="str">
        <f>VLOOKUP(I36, MenuSections!$A$2:$B$13, 2, FALSE)</f>
        <v>Drink</v>
      </c>
      <c r="K36" s="8"/>
      <c r="L36" s="10" t="s">
        <v>94</v>
      </c>
    </row>
    <row r="37" spans="1:12">
      <c r="A37" s="8">
        <v>36</v>
      </c>
      <c r="B37" s="8" t="s">
        <v>116</v>
      </c>
      <c r="C37" s="8"/>
      <c r="D37" s="8" t="s">
        <v>116</v>
      </c>
      <c r="E37" s="8"/>
      <c r="F37" s="9">
        <v>3.5</v>
      </c>
      <c r="G37" s="9"/>
      <c r="H37" s="8">
        <v>36</v>
      </c>
      <c r="I37" s="8">
        <v>4</v>
      </c>
      <c r="J37" s="8" t="str">
        <f>VLOOKUP(I37, MenuSections!$A$2:$B$13, 2, FALSE)</f>
        <v>Drink</v>
      </c>
      <c r="K37" s="8"/>
      <c r="L37" s="10" t="s">
        <v>94</v>
      </c>
    </row>
    <row r="38" spans="1:12">
      <c r="A38" s="8">
        <v>37</v>
      </c>
      <c r="B38" s="8" t="s">
        <v>117</v>
      </c>
      <c r="C38" s="8"/>
      <c r="D38" s="8" t="s">
        <v>118</v>
      </c>
      <c r="E38" s="8"/>
      <c r="F38" s="9">
        <v>3.5</v>
      </c>
      <c r="G38" s="9"/>
      <c r="H38" s="8">
        <v>37</v>
      </c>
      <c r="I38" s="8">
        <v>4</v>
      </c>
      <c r="J38" s="8" t="str">
        <f>VLOOKUP(I38, MenuSections!$A$2:$B$13, 2, FALSE)</f>
        <v>Drink</v>
      </c>
      <c r="K38" s="8"/>
      <c r="L38" s="10" t="s">
        <v>94</v>
      </c>
    </row>
    <row r="39" spans="1:12">
      <c r="A39" s="8">
        <v>38</v>
      </c>
      <c r="B39" s="8" t="s">
        <v>119</v>
      </c>
      <c r="C39" s="8"/>
      <c r="D39" s="8" t="s">
        <v>120</v>
      </c>
      <c r="E39" s="8" t="s">
        <v>121</v>
      </c>
      <c r="F39" s="9">
        <v>3.5</v>
      </c>
      <c r="G39" s="9"/>
      <c r="H39" s="8">
        <v>38</v>
      </c>
      <c r="I39" s="8">
        <v>4</v>
      </c>
      <c r="J39" s="8" t="str">
        <f>VLOOKUP(I39, MenuSections!$A$2:$B$13, 2, FALSE)</f>
        <v>Drink</v>
      </c>
      <c r="K39" s="8"/>
      <c r="L39" s="10" t="s">
        <v>94</v>
      </c>
    </row>
    <row r="40" spans="1:12">
      <c r="A40" s="8">
        <v>39</v>
      </c>
      <c r="B40" s="8" t="s">
        <v>122</v>
      </c>
      <c r="C40" s="8"/>
      <c r="D40" s="8"/>
      <c r="E40" s="8"/>
      <c r="F40" s="9">
        <v>2</v>
      </c>
      <c r="G40" s="9"/>
      <c r="H40" s="8">
        <v>39</v>
      </c>
      <c r="I40" s="8">
        <v>4</v>
      </c>
      <c r="J40" s="8" t="str">
        <f>VLOOKUP(I40, MenuSections!$A$2:$B$13, 2, FALSE)</f>
        <v>Drink</v>
      </c>
      <c r="K40" s="8"/>
      <c r="L40" s="10">
        <v>3</v>
      </c>
    </row>
    <row r="41" spans="1:12">
      <c r="A41" s="8">
        <v>40</v>
      </c>
      <c r="B41" s="8" t="s">
        <v>123</v>
      </c>
      <c r="C41" s="8"/>
      <c r="D41" s="8"/>
      <c r="E41" s="8"/>
      <c r="F41" s="9">
        <v>2.5</v>
      </c>
      <c r="G41" s="9"/>
      <c r="H41" s="8">
        <v>40</v>
      </c>
      <c r="I41" s="8">
        <v>4</v>
      </c>
      <c r="J41" s="8" t="str">
        <f>VLOOKUP(I41, MenuSections!$A$2:$B$13, 2, FALSE)</f>
        <v>Drink</v>
      </c>
      <c r="K41" s="8"/>
      <c r="L41" s="10">
        <v>3</v>
      </c>
    </row>
    <row r="42" spans="1:12">
      <c r="A42" s="8">
        <v>41</v>
      </c>
      <c r="B42" s="8" t="s">
        <v>124</v>
      </c>
      <c r="C42" s="8"/>
      <c r="D42" s="8" t="s">
        <v>125</v>
      </c>
      <c r="E42" s="11" t="s">
        <v>126</v>
      </c>
      <c r="F42" s="9">
        <v>3.5</v>
      </c>
      <c r="G42" s="9">
        <v>5.5</v>
      </c>
      <c r="H42" s="8">
        <v>41</v>
      </c>
      <c r="I42" s="8">
        <v>5</v>
      </c>
      <c r="J42" s="8" t="str">
        <f>VLOOKUP(I42, MenuSections!$A$2:$B$13, 2, FALSE)</f>
        <v>DraftBeer</v>
      </c>
      <c r="K42" s="8"/>
      <c r="L42" s="10" t="s">
        <v>94</v>
      </c>
    </row>
    <row r="43" spans="1:12">
      <c r="A43" s="8">
        <v>42</v>
      </c>
      <c r="B43" s="8" t="s">
        <v>127</v>
      </c>
      <c r="C43" s="8"/>
      <c r="D43" s="8" t="s">
        <v>128</v>
      </c>
      <c r="E43" s="11" t="s">
        <v>129</v>
      </c>
      <c r="F43" s="9">
        <v>3.5</v>
      </c>
      <c r="G43" s="9">
        <v>6</v>
      </c>
      <c r="H43" s="8">
        <v>42</v>
      </c>
      <c r="I43" s="8">
        <v>5</v>
      </c>
      <c r="J43" s="8" t="str">
        <f>VLOOKUP(I43, MenuSections!$A$2:$B$13, 2, FALSE)</f>
        <v>DraftBeer</v>
      </c>
      <c r="K43" s="8"/>
      <c r="L43" s="10" t="s">
        <v>94</v>
      </c>
    </row>
    <row r="44" spans="1:12">
      <c r="A44" s="8">
        <v>43</v>
      </c>
      <c r="B44" s="8" t="s">
        <v>130</v>
      </c>
      <c r="C44" s="8"/>
      <c r="D44" s="8" t="s">
        <v>131</v>
      </c>
      <c r="E44" s="11" t="s">
        <v>132</v>
      </c>
      <c r="F44" s="9">
        <v>3.5</v>
      </c>
      <c r="G44" s="9">
        <v>6</v>
      </c>
      <c r="H44" s="8">
        <v>43</v>
      </c>
      <c r="I44" s="8">
        <v>5</v>
      </c>
      <c r="J44" s="8" t="str">
        <f>VLOOKUP(I44, MenuSections!$A$2:$B$13, 2, FALSE)</f>
        <v>DraftBeer</v>
      </c>
      <c r="K44" s="8"/>
      <c r="L44" s="10" t="s">
        <v>94</v>
      </c>
    </row>
    <row r="45" spans="1:12">
      <c r="A45" s="8">
        <v>44</v>
      </c>
      <c r="B45" s="8" t="s">
        <v>133</v>
      </c>
      <c r="C45" s="8"/>
      <c r="D45" s="8"/>
      <c r="E45" s="8"/>
      <c r="F45" s="9">
        <v>5</v>
      </c>
      <c r="G45" s="9"/>
      <c r="H45" s="8">
        <v>44</v>
      </c>
      <c r="I45" s="8">
        <v>6</v>
      </c>
      <c r="J45" s="8" t="str">
        <f>VLOOKUP(I45, MenuSections!$A$2:$B$13, 2, FALSE)</f>
        <v>BottleBeer</v>
      </c>
      <c r="K45" s="8"/>
      <c r="L45" s="10" t="s">
        <v>94</v>
      </c>
    </row>
    <row r="46" spans="1:12" s="6" customFormat="1">
      <c r="A46" s="8">
        <v>45</v>
      </c>
      <c r="B46" s="8" t="s">
        <v>134</v>
      </c>
      <c r="C46" s="8"/>
      <c r="D46" s="8"/>
      <c r="E46" s="8"/>
      <c r="F46" s="9">
        <v>6.5</v>
      </c>
      <c r="G46" s="9"/>
      <c r="H46" s="8">
        <v>45</v>
      </c>
      <c r="I46" s="8">
        <v>6</v>
      </c>
      <c r="J46" s="8" t="str">
        <f>VLOOKUP(I46, MenuSections!$A$2:$B$13, 2, FALSE)</f>
        <v>BottleBeer</v>
      </c>
      <c r="K46" s="8"/>
      <c r="L46" s="10" t="s">
        <v>94</v>
      </c>
    </row>
    <row r="47" spans="1:12" s="6" customFormat="1">
      <c r="A47" s="8">
        <v>46</v>
      </c>
      <c r="B47" s="8" t="s">
        <v>135</v>
      </c>
      <c r="C47" s="8"/>
      <c r="D47" s="8"/>
      <c r="E47" s="8"/>
      <c r="F47" s="9">
        <v>6.5</v>
      </c>
      <c r="G47" s="9"/>
      <c r="H47" s="8">
        <v>46</v>
      </c>
      <c r="I47" s="8">
        <v>6</v>
      </c>
      <c r="J47" s="8" t="str">
        <f>VLOOKUP(I47, MenuSections!$A$2:$B$13, 2, FALSE)</f>
        <v>BottleBeer</v>
      </c>
      <c r="K47" s="8"/>
      <c r="L47" s="10" t="s">
        <v>94</v>
      </c>
    </row>
    <row r="48" spans="1:12">
      <c r="A48" s="8">
        <v>47</v>
      </c>
      <c r="B48" s="8" t="s">
        <v>136</v>
      </c>
      <c r="C48" s="8"/>
      <c r="D48" s="8"/>
      <c r="E48" s="8"/>
      <c r="F48" s="9">
        <v>5</v>
      </c>
      <c r="G48" s="9"/>
      <c r="H48" s="8">
        <v>47</v>
      </c>
      <c r="I48" s="8">
        <v>6</v>
      </c>
      <c r="J48" s="8" t="str">
        <f>VLOOKUP(I48, MenuSections!$A$2:$B$13, 2, FALSE)</f>
        <v>BottleBeer</v>
      </c>
      <c r="K48" s="8"/>
      <c r="L48" s="10" t="s">
        <v>94</v>
      </c>
    </row>
    <row r="49" spans="1:12">
      <c r="A49" s="8">
        <v>48</v>
      </c>
      <c r="B49" s="8" t="s">
        <v>137</v>
      </c>
      <c r="C49" s="8"/>
      <c r="D49" s="8" t="s">
        <v>138</v>
      </c>
      <c r="E49" s="8" t="s">
        <v>139</v>
      </c>
      <c r="F49" s="9">
        <v>5</v>
      </c>
      <c r="G49" s="9"/>
      <c r="H49" s="8">
        <v>48</v>
      </c>
      <c r="I49" s="8">
        <v>6</v>
      </c>
      <c r="J49" s="8" t="str">
        <f>VLOOKUP(I49, MenuSections!$A$2:$B$13, 2, FALSE)</f>
        <v>BottleBeer</v>
      </c>
      <c r="K49" s="8"/>
      <c r="L49" s="10" t="s">
        <v>94</v>
      </c>
    </row>
    <row r="50" spans="1:12">
      <c r="A50" s="8">
        <v>49</v>
      </c>
      <c r="B50" s="8" t="s">
        <v>140</v>
      </c>
      <c r="C50" s="8"/>
      <c r="D50" s="8" t="s">
        <v>141</v>
      </c>
      <c r="E50" s="8" t="s">
        <v>142</v>
      </c>
      <c r="F50" s="9">
        <v>4.5</v>
      </c>
      <c r="G50" s="9"/>
      <c r="H50" s="8">
        <v>49</v>
      </c>
      <c r="I50" s="8">
        <v>6</v>
      </c>
      <c r="J50" s="8" t="str">
        <f>VLOOKUP(I50, MenuSections!$A$2:$B$13, 2, FALSE)</f>
        <v>BottleBeer</v>
      </c>
      <c r="K50" s="8"/>
      <c r="L50" s="10" t="s">
        <v>143</v>
      </c>
    </row>
    <row r="51" spans="1:12">
      <c r="A51" s="8">
        <v>50</v>
      </c>
      <c r="B51" s="8" t="s">
        <v>144</v>
      </c>
      <c r="C51" s="8"/>
      <c r="D51" s="8"/>
      <c r="E51" s="8"/>
      <c r="F51" s="9">
        <v>20</v>
      </c>
      <c r="G51" s="9">
        <v>3.5</v>
      </c>
      <c r="H51" s="8">
        <v>50</v>
      </c>
      <c r="I51" s="8">
        <v>7</v>
      </c>
      <c r="J51" s="8" t="str">
        <f>VLOOKUP(I51, MenuSections!$A$2:$B$13, 2, FALSE)</f>
        <v>Wine</v>
      </c>
      <c r="K51" s="8"/>
      <c r="L51" s="10" t="s">
        <v>94</v>
      </c>
    </row>
    <row r="52" spans="1:12">
      <c r="A52" s="8">
        <v>51</v>
      </c>
      <c r="B52" s="8" t="s">
        <v>145</v>
      </c>
      <c r="C52" s="8"/>
      <c r="D52" s="8"/>
      <c r="E52" s="8"/>
      <c r="F52" s="9">
        <v>20</v>
      </c>
      <c r="G52" s="9">
        <v>3.5</v>
      </c>
      <c r="H52" s="8">
        <v>51</v>
      </c>
      <c r="I52" s="8">
        <v>7</v>
      </c>
      <c r="J52" s="8" t="str">
        <f>VLOOKUP(I52, MenuSections!$A$2:$B$13, 2, FALSE)</f>
        <v>Wine</v>
      </c>
      <c r="K52" s="8"/>
      <c r="L52" s="10" t="s">
        <v>94</v>
      </c>
    </row>
    <row r="53" spans="1:12">
      <c r="A53" s="8">
        <v>52</v>
      </c>
      <c r="B53" s="8" t="s">
        <v>146</v>
      </c>
      <c r="C53" s="8"/>
      <c r="D53" s="8"/>
      <c r="E53" s="8"/>
      <c r="F53" s="9">
        <v>27</v>
      </c>
      <c r="G53" s="9"/>
      <c r="H53" s="8">
        <v>52</v>
      </c>
      <c r="I53" s="8">
        <v>7</v>
      </c>
      <c r="J53" s="8" t="str">
        <f>VLOOKUP(I53, MenuSections!$A$2:$B$13, 2, FALSE)</f>
        <v>Wine</v>
      </c>
      <c r="K53" s="8"/>
      <c r="L53" s="10" t="s">
        <v>94</v>
      </c>
    </row>
    <row r="54" spans="1:12">
      <c r="A54" s="8">
        <v>53</v>
      </c>
      <c r="B54" s="8" t="s">
        <v>147</v>
      </c>
      <c r="C54" s="8"/>
      <c r="D54" s="8"/>
      <c r="E54" s="8"/>
      <c r="F54" s="9">
        <v>23</v>
      </c>
      <c r="G54" s="9"/>
      <c r="H54" s="8">
        <v>53</v>
      </c>
      <c r="I54" s="8">
        <v>7</v>
      </c>
      <c r="J54" s="8" t="str">
        <f>VLOOKUP(I54, MenuSections!$A$2:$B$13, 2, FALSE)</f>
        <v>Wine</v>
      </c>
      <c r="K54" s="8"/>
      <c r="L54" s="10" t="s">
        <v>94</v>
      </c>
    </row>
    <row r="55" spans="1:12">
      <c r="A55" s="8">
        <v>54</v>
      </c>
      <c r="B55" s="8" t="s">
        <v>148</v>
      </c>
      <c r="C55" s="8"/>
      <c r="D55" s="8"/>
      <c r="E55" s="8"/>
      <c r="F55" s="9">
        <v>18</v>
      </c>
      <c r="G55" s="9">
        <v>3.5</v>
      </c>
      <c r="H55" s="8">
        <v>54</v>
      </c>
      <c r="I55" s="8">
        <v>7</v>
      </c>
      <c r="J55" s="8" t="str">
        <f>VLOOKUP(I55, MenuSections!$A$2:$B$13, 2, FALSE)</f>
        <v>Wine</v>
      </c>
      <c r="K55" s="8"/>
      <c r="L55" s="10" t="s">
        <v>94</v>
      </c>
    </row>
    <row r="56" spans="1:12">
      <c r="A56" s="8">
        <v>55</v>
      </c>
      <c r="B56" s="8" t="s">
        <v>149</v>
      </c>
      <c r="C56" s="8"/>
      <c r="D56" s="8"/>
      <c r="E56" s="8"/>
      <c r="F56" s="9">
        <v>17</v>
      </c>
      <c r="G56" s="9">
        <v>3.5</v>
      </c>
      <c r="H56" s="8">
        <v>55</v>
      </c>
      <c r="I56" s="8">
        <v>7</v>
      </c>
      <c r="J56" s="8" t="str">
        <f>VLOOKUP(I56, MenuSections!$A$2:$B$13, 2, FALSE)</f>
        <v>Wine</v>
      </c>
      <c r="K56" s="8"/>
      <c r="L56" s="10" t="s">
        <v>94</v>
      </c>
    </row>
    <row r="57" spans="1:12" s="6" customFormat="1">
      <c r="A57" s="8">
        <v>56</v>
      </c>
      <c r="B57" s="8" t="s">
        <v>150</v>
      </c>
      <c r="C57" s="8"/>
      <c r="D57" s="8"/>
      <c r="E57" s="8"/>
      <c r="F57" s="9">
        <v>34</v>
      </c>
      <c r="G57" s="9"/>
      <c r="H57" s="8">
        <v>56</v>
      </c>
      <c r="I57" s="8">
        <v>7</v>
      </c>
      <c r="J57" s="8" t="str">
        <f>VLOOKUP(I57, MenuSections!$A$2:$B$13, 2, FALSE)</f>
        <v>Wine</v>
      </c>
      <c r="K57" s="8"/>
      <c r="L57" s="10" t="s">
        <v>94</v>
      </c>
    </row>
    <row r="58" spans="1:12" s="6" customFormat="1">
      <c r="A58" s="8">
        <v>57</v>
      </c>
      <c r="B58" s="8" t="s">
        <v>151</v>
      </c>
      <c r="C58" s="8"/>
      <c r="D58" s="8"/>
      <c r="E58" s="8"/>
      <c r="F58" s="9">
        <v>29</v>
      </c>
      <c r="G58" s="9"/>
      <c r="H58" s="8">
        <v>57</v>
      </c>
      <c r="I58" s="8">
        <v>7</v>
      </c>
      <c r="J58" s="8" t="str">
        <f>VLOOKUP(I58, MenuSections!$A$2:$B$13, 2, FALSE)</f>
        <v>Wine</v>
      </c>
      <c r="K58" s="8"/>
      <c r="L58" s="10" t="s">
        <v>94</v>
      </c>
    </row>
    <row r="59" spans="1:12" s="6" customFormat="1">
      <c r="A59" s="8">
        <v>58</v>
      </c>
      <c r="B59" s="8" t="s">
        <v>152</v>
      </c>
      <c r="C59" s="8"/>
      <c r="D59" s="8"/>
      <c r="E59" s="8"/>
      <c r="F59" s="9">
        <v>28</v>
      </c>
      <c r="G59" s="9"/>
      <c r="H59" s="8">
        <v>58</v>
      </c>
      <c r="I59" s="8">
        <v>7</v>
      </c>
      <c r="J59" s="8" t="str">
        <f>VLOOKUP(I59, MenuSections!$A$2:$B$13, 2, FALSE)</f>
        <v>Wine</v>
      </c>
      <c r="K59" s="8"/>
      <c r="L59" s="10" t="s">
        <v>94</v>
      </c>
    </row>
    <row r="60" spans="1:12">
      <c r="A60" s="8">
        <v>59</v>
      </c>
      <c r="B60" s="8" t="s">
        <v>153</v>
      </c>
      <c r="C60" s="8"/>
      <c r="D60" s="8" t="s">
        <v>154</v>
      </c>
      <c r="E60" s="8" t="s">
        <v>155</v>
      </c>
      <c r="F60" s="9">
        <v>6</v>
      </c>
      <c r="G60" s="9"/>
      <c r="H60" s="8">
        <v>59</v>
      </c>
      <c r="I60" s="8">
        <v>8</v>
      </c>
      <c r="J60" s="8" t="str">
        <f>VLOOKUP(I60, MenuSections!$A$2:$B$13, 2, FALSE)</f>
        <v>Cake</v>
      </c>
      <c r="K60" s="8"/>
      <c r="L60" s="10" t="s">
        <v>156</v>
      </c>
    </row>
    <row r="61" spans="1:12">
      <c r="A61" s="8">
        <v>60</v>
      </c>
      <c r="B61" s="8" t="s">
        <v>157</v>
      </c>
      <c r="C61" s="8"/>
      <c r="D61" s="8" t="s">
        <v>158</v>
      </c>
      <c r="E61" s="8" t="s">
        <v>159</v>
      </c>
      <c r="F61" s="9">
        <v>7</v>
      </c>
      <c r="G61" s="9"/>
      <c r="H61" s="8">
        <v>60</v>
      </c>
      <c r="I61" s="8">
        <v>8</v>
      </c>
      <c r="J61" s="8" t="str">
        <f>VLOOKUP(I61, MenuSections!$A$2:$B$13, 2, FALSE)</f>
        <v>Cake</v>
      </c>
      <c r="K61" s="8"/>
      <c r="L61" s="10" t="s">
        <v>156</v>
      </c>
    </row>
    <row r="62" spans="1:12" s="6" customFormat="1">
      <c r="A62" s="8">
        <v>61</v>
      </c>
      <c r="B62" s="8" t="s">
        <v>160</v>
      </c>
      <c r="C62" s="8"/>
      <c r="D62" s="8" t="s">
        <v>161</v>
      </c>
      <c r="E62" s="8" t="s">
        <v>162</v>
      </c>
      <c r="F62" s="9">
        <v>6.5</v>
      </c>
      <c r="G62" s="9"/>
      <c r="H62" s="8">
        <v>61</v>
      </c>
      <c r="I62" s="8">
        <v>8</v>
      </c>
      <c r="J62" s="8" t="str">
        <f>VLOOKUP(I62, MenuSections!$A$2:$B$13, 2, FALSE)</f>
        <v>Cake</v>
      </c>
      <c r="K62" s="8"/>
      <c r="L62" s="10" t="s">
        <v>156</v>
      </c>
    </row>
    <row r="63" spans="1:12">
      <c r="A63" s="8">
        <v>62</v>
      </c>
      <c r="B63" s="8" t="s">
        <v>163</v>
      </c>
      <c r="C63" s="8"/>
      <c r="D63" s="8" t="s">
        <v>164</v>
      </c>
      <c r="E63" s="8" t="s">
        <v>165</v>
      </c>
      <c r="F63" s="9">
        <v>6</v>
      </c>
      <c r="G63" s="9"/>
      <c r="H63" s="8">
        <v>62</v>
      </c>
      <c r="I63" s="8">
        <v>8</v>
      </c>
      <c r="J63" s="8" t="str">
        <f>VLOOKUP(I63, MenuSections!$A$2:$B$13, 2, FALSE)</f>
        <v>Cake</v>
      </c>
      <c r="K63" s="8"/>
      <c r="L63" s="10" t="s">
        <v>156</v>
      </c>
    </row>
    <row r="64" spans="1:12">
      <c r="A64" s="8">
        <v>63</v>
      </c>
      <c r="B64" s="8" t="s">
        <v>166</v>
      </c>
      <c r="C64" s="8"/>
      <c r="D64" s="8" t="s">
        <v>167</v>
      </c>
      <c r="E64" s="8" t="s">
        <v>168</v>
      </c>
      <c r="F64" s="9">
        <v>4.5</v>
      </c>
      <c r="G64" s="9"/>
      <c r="H64" s="8">
        <v>63</v>
      </c>
      <c r="I64" s="8">
        <v>8</v>
      </c>
      <c r="J64" s="8" t="str">
        <f>VLOOKUP(I64, MenuSections!$A$2:$B$13, 2, FALSE)</f>
        <v>Cake</v>
      </c>
      <c r="K64" s="8"/>
      <c r="L64" s="10" t="s">
        <v>156</v>
      </c>
    </row>
    <row r="65" spans="1:12">
      <c r="A65" s="8">
        <v>64</v>
      </c>
      <c r="B65" s="8" t="s">
        <v>169</v>
      </c>
      <c r="C65" s="8"/>
      <c r="D65" s="8" t="s">
        <v>170</v>
      </c>
      <c r="E65" s="8" t="s">
        <v>171</v>
      </c>
      <c r="F65" s="9">
        <v>3.5</v>
      </c>
      <c r="G65" s="9">
        <v>4.5</v>
      </c>
      <c r="H65" s="8">
        <v>64</v>
      </c>
      <c r="I65" s="8">
        <v>8</v>
      </c>
      <c r="J65" s="8" t="str">
        <f>VLOOKUP(I65, MenuSections!$A$2:$B$13, 2, FALSE)</f>
        <v>Cake</v>
      </c>
      <c r="K65" s="8"/>
      <c r="L65" s="10" t="s">
        <v>156</v>
      </c>
    </row>
    <row r="66" spans="1:12">
      <c r="A66" s="8">
        <v>65</v>
      </c>
      <c r="B66" s="8" t="s">
        <v>172</v>
      </c>
      <c r="C66" s="8"/>
      <c r="D66" s="8" t="s">
        <v>173</v>
      </c>
      <c r="E66" s="8"/>
      <c r="F66" s="9">
        <v>7.5</v>
      </c>
      <c r="G66" s="9"/>
      <c r="H66" s="8">
        <v>65</v>
      </c>
      <c r="I66" s="8">
        <v>9</v>
      </c>
      <c r="J66" s="8" t="str">
        <f>VLOOKUP(I66, MenuSections!$A$2:$B$13, 2, FALSE)</f>
        <v>Cocktail</v>
      </c>
      <c r="K66" s="8"/>
      <c r="L66" s="10" t="s">
        <v>156</v>
      </c>
    </row>
    <row r="67" spans="1:12">
      <c r="A67" s="8">
        <v>66</v>
      </c>
      <c r="B67" s="8" t="s">
        <v>174</v>
      </c>
      <c r="C67" s="8"/>
      <c r="D67" s="8" t="s">
        <v>175</v>
      </c>
      <c r="E67" s="8"/>
      <c r="F67" s="9">
        <v>8.5</v>
      </c>
      <c r="G67" s="9"/>
      <c r="H67" s="8">
        <v>66</v>
      </c>
      <c r="I67" s="8">
        <v>9</v>
      </c>
      <c r="J67" s="8" t="str">
        <f>VLOOKUP(I67, MenuSections!$A$2:$B$13, 2, FALSE)</f>
        <v>Cocktail</v>
      </c>
      <c r="K67" s="8"/>
      <c r="L67" s="10" t="s">
        <v>156</v>
      </c>
    </row>
    <row r="68" spans="1:12" s="6" customFormat="1">
      <c r="A68" s="8">
        <v>67</v>
      </c>
      <c r="B68" s="8" t="s">
        <v>176</v>
      </c>
      <c r="C68" s="8"/>
      <c r="D68" s="8" t="s">
        <v>177</v>
      </c>
      <c r="E68" s="8"/>
      <c r="F68" s="9">
        <v>10</v>
      </c>
      <c r="G68" s="9"/>
      <c r="H68" s="8">
        <v>67</v>
      </c>
      <c r="I68" s="8">
        <v>9</v>
      </c>
      <c r="J68" s="8" t="str">
        <f>VLOOKUP(I68, MenuSections!$A$2:$B$13, 2, FALSE)</f>
        <v>Cocktail</v>
      </c>
      <c r="K68" s="8"/>
      <c r="L68" s="10" t="s">
        <v>156</v>
      </c>
    </row>
    <row r="69" spans="1:12">
      <c r="A69" s="8">
        <v>68</v>
      </c>
      <c r="B69" s="8" t="s">
        <v>178</v>
      </c>
      <c r="C69" s="8"/>
      <c r="D69" s="8" t="s">
        <v>179</v>
      </c>
      <c r="E69" s="8"/>
      <c r="F69" s="9">
        <v>7.5</v>
      </c>
      <c r="G69" s="9"/>
      <c r="H69" s="8">
        <v>68</v>
      </c>
      <c r="I69" s="8">
        <v>9</v>
      </c>
      <c r="J69" s="8" t="str">
        <f>VLOOKUP(I69, MenuSections!$A$2:$B$13, 2, FALSE)</f>
        <v>Cocktail</v>
      </c>
      <c r="K69" s="8"/>
      <c r="L69" s="10" t="s">
        <v>156</v>
      </c>
    </row>
    <row r="70" spans="1:12">
      <c r="A70" s="8">
        <v>69</v>
      </c>
      <c r="B70" s="8" t="s">
        <v>180</v>
      </c>
      <c r="C70" s="8"/>
      <c r="D70" s="8" t="s">
        <v>181</v>
      </c>
      <c r="E70" s="8"/>
      <c r="F70" s="9">
        <v>9</v>
      </c>
      <c r="G70" s="9"/>
      <c r="H70" s="8">
        <v>69</v>
      </c>
      <c r="I70" s="8">
        <v>9</v>
      </c>
      <c r="J70" s="8" t="str">
        <f>VLOOKUP(I70, MenuSections!$A$2:$B$13, 2, FALSE)</f>
        <v>Cocktail</v>
      </c>
      <c r="K70" s="8"/>
      <c r="L70" s="10" t="s">
        <v>156</v>
      </c>
    </row>
    <row r="71" spans="1:12" s="6" customFormat="1">
      <c r="A71" s="8">
        <v>70</v>
      </c>
      <c r="B71" s="8" t="s">
        <v>182</v>
      </c>
      <c r="C71" s="8"/>
      <c r="D71" s="8" t="s">
        <v>183</v>
      </c>
      <c r="E71" s="8"/>
      <c r="F71" s="9">
        <v>10</v>
      </c>
      <c r="G71" s="9"/>
      <c r="H71" s="8">
        <v>70</v>
      </c>
      <c r="I71" s="8">
        <v>9</v>
      </c>
      <c r="J71" s="8" t="str">
        <f>VLOOKUP(I71, MenuSections!$A$2:$B$13, 2, FALSE)</f>
        <v>Cocktail</v>
      </c>
      <c r="K71" s="8"/>
      <c r="L71" s="10" t="s">
        <v>156</v>
      </c>
    </row>
    <row r="72" spans="1:12">
      <c r="A72" s="8">
        <v>71</v>
      </c>
      <c r="B72" s="8" t="s">
        <v>184</v>
      </c>
      <c r="C72" s="8"/>
      <c r="D72" s="8" t="s">
        <v>185</v>
      </c>
      <c r="E72" s="8"/>
      <c r="F72" s="9">
        <v>8</v>
      </c>
      <c r="G72" s="9"/>
      <c r="H72" s="8">
        <v>71</v>
      </c>
      <c r="I72" s="8">
        <v>9</v>
      </c>
      <c r="J72" s="8" t="str">
        <f>VLOOKUP(I72, MenuSections!$A$2:$B$13, 2, FALSE)</f>
        <v>Cocktail</v>
      </c>
      <c r="K72" s="8"/>
      <c r="L72" s="10" t="s">
        <v>156</v>
      </c>
    </row>
    <row r="73" spans="1:12">
      <c r="A73" s="8">
        <v>72</v>
      </c>
      <c r="B73" s="8" t="s">
        <v>186</v>
      </c>
      <c r="C73" s="8"/>
      <c r="D73" s="8" t="s">
        <v>186</v>
      </c>
      <c r="E73" s="8"/>
      <c r="F73" s="9">
        <v>3.5</v>
      </c>
      <c r="G73" s="9"/>
      <c r="H73" s="8">
        <v>72</v>
      </c>
      <c r="I73" s="8">
        <v>10</v>
      </c>
      <c r="J73" s="8" t="str">
        <f>VLOOKUP(I73, MenuSections!$A$2:$B$13, 2, FALSE)</f>
        <v>Digestif</v>
      </c>
      <c r="K73" s="8"/>
      <c r="L73" s="10" t="s">
        <v>156</v>
      </c>
    </row>
    <row r="74" spans="1:12">
      <c r="A74" s="8">
        <v>73</v>
      </c>
      <c r="B74" s="8" t="s">
        <v>187</v>
      </c>
      <c r="C74" s="8"/>
      <c r="D74" s="8" t="s">
        <v>188</v>
      </c>
      <c r="E74" s="8"/>
      <c r="F74" s="9">
        <v>3.5</v>
      </c>
      <c r="G74" s="9"/>
      <c r="H74" s="8">
        <v>73</v>
      </c>
      <c r="I74" s="8">
        <v>10</v>
      </c>
      <c r="J74" s="8" t="str">
        <f>VLOOKUP(I74, MenuSections!$A$2:$B$13, 2, FALSE)</f>
        <v>Digestif</v>
      </c>
      <c r="K74" s="8"/>
      <c r="L74" s="10" t="s">
        <v>156</v>
      </c>
    </row>
    <row r="75" spans="1:12">
      <c r="A75" s="8">
        <v>74</v>
      </c>
      <c r="B75" s="8" t="s">
        <v>189</v>
      </c>
      <c r="C75" s="8"/>
      <c r="D75" s="8" t="s">
        <v>190</v>
      </c>
      <c r="E75" s="8"/>
      <c r="F75" s="9">
        <v>3.8</v>
      </c>
      <c r="G75" s="9"/>
      <c r="H75" s="8">
        <v>74</v>
      </c>
      <c r="I75" s="8">
        <v>10</v>
      </c>
      <c r="J75" s="8" t="str">
        <f>VLOOKUP(I75, MenuSections!$A$2:$B$13, 2, FALSE)</f>
        <v>Digestif</v>
      </c>
      <c r="K75" s="8"/>
      <c r="L75" s="10" t="s">
        <v>156</v>
      </c>
    </row>
    <row r="76" spans="1:12">
      <c r="A76" s="8">
        <v>75</v>
      </c>
      <c r="B76" s="8" t="s">
        <v>191</v>
      </c>
      <c r="C76" s="8"/>
      <c r="D76" s="8"/>
      <c r="E76" s="8"/>
      <c r="F76" s="9">
        <v>5</v>
      </c>
      <c r="G76" s="9"/>
      <c r="H76" s="8">
        <v>75</v>
      </c>
      <c r="I76" s="8">
        <v>10</v>
      </c>
      <c r="J76" s="8" t="str">
        <f>VLOOKUP(I76, MenuSections!$A$2:$B$13, 2, FALSE)</f>
        <v>Digestif</v>
      </c>
      <c r="K76" s="8"/>
      <c r="L76" s="10"/>
    </row>
    <row r="77" spans="1:12">
      <c r="A77" s="8">
        <v>76</v>
      </c>
      <c r="B77" s="8" t="s">
        <v>192</v>
      </c>
      <c r="C77" s="8"/>
      <c r="D77" s="8"/>
      <c r="E77" s="8"/>
      <c r="F77" s="9">
        <v>5</v>
      </c>
      <c r="G77" s="9"/>
      <c r="H77" s="8">
        <v>76</v>
      </c>
      <c r="I77" s="8">
        <v>10</v>
      </c>
      <c r="J77" s="8" t="str">
        <f>VLOOKUP(I77, MenuSections!$A$2:$B$13, 2, FALSE)</f>
        <v>Digestif</v>
      </c>
      <c r="K77" s="8"/>
      <c r="L77" s="10"/>
    </row>
    <row r="78" spans="1:12">
      <c r="A78" s="8">
        <v>77</v>
      </c>
      <c r="B78" s="8" t="s">
        <v>193</v>
      </c>
      <c r="C78" s="8"/>
      <c r="D78" s="8" t="s">
        <v>194</v>
      </c>
      <c r="E78" s="8"/>
      <c r="F78" s="9">
        <v>7</v>
      </c>
      <c r="G78" s="9"/>
      <c r="H78" s="8">
        <v>77</v>
      </c>
      <c r="I78" s="8">
        <v>10</v>
      </c>
      <c r="J78" s="8" t="str">
        <f>VLOOKUP(I78, MenuSections!$A$2:$B$13, 2, FALSE)</f>
        <v>Digestif</v>
      </c>
      <c r="K78" s="8"/>
      <c r="L78" s="10" t="s">
        <v>156</v>
      </c>
    </row>
    <row r="79" spans="1:12">
      <c r="A79" s="8">
        <v>78</v>
      </c>
      <c r="B79" s="8" t="s">
        <v>195</v>
      </c>
      <c r="C79" s="8"/>
      <c r="D79" s="8" t="s">
        <v>196</v>
      </c>
      <c r="E79" s="8"/>
      <c r="F79" s="9">
        <v>7.5</v>
      </c>
      <c r="G79" s="9"/>
      <c r="H79" s="8">
        <v>78</v>
      </c>
      <c r="I79" s="8">
        <v>10</v>
      </c>
      <c r="J79" s="8" t="str">
        <f>VLOOKUP(I79, MenuSections!$A$2:$B$13, 2, FALSE)</f>
        <v>Digestif</v>
      </c>
      <c r="K79" s="8"/>
      <c r="L79" s="10" t="s">
        <v>156</v>
      </c>
    </row>
    <row r="80" spans="1:12">
      <c r="A80" s="8">
        <v>79</v>
      </c>
      <c r="B80" s="8" t="s">
        <v>197</v>
      </c>
      <c r="C80" s="8"/>
      <c r="D80" s="8" t="s">
        <v>197</v>
      </c>
      <c r="E80" s="8"/>
      <c r="F80" s="9">
        <v>6.5</v>
      </c>
      <c r="G80" s="9"/>
      <c r="H80" s="8">
        <v>79</v>
      </c>
      <c r="I80" s="8">
        <v>10</v>
      </c>
      <c r="J80" s="8" t="str">
        <f>VLOOKUP(I80, MenuSections!$A$2:$B$13, 2, FALSE)</f>
        <v>Digestif</v>
      </c>
      <c r="K80" s="8"/>
      <c r="L80" s="10" t="s">
        <v>156</v>
      </c>
    </row>
    <row r="81" spans="1:12">
      <c r="A81" s="8">
        <v>80</v>
      </c>
      <c r="B81" s="8" t="s">
        <v>198</v>
      </c>
      <c r="C81" s="8"/>
      <c r="D81" s="8" t="s">
        <v>199</v>
      </c>
      <c r="E81" s="8"/>
      <c r="F81" s="9">
        <v>9</v>
      </c>
      <c r="G81" s="9"/>
      <c r="H81" s="8">
        <v>80</v>
      </c>
      <c r="I81" s="8">
        <v>10</v>
      </c>
      <c r="J81" s="8" t="str">
        <f>VLOOKUP(I81, MenuSections!$A$2:$B$13, 2, FALSE)</f>
        <v>Digestif</v>
      </c>
      <c r="K81" s="8"/>
      <c r="L81" s="10" t="s">
        <v>156</v>
      </c>
    </row>
    <row r="82" spans="1:12">
      <c r="A82" s="8">
        <v>81</v>
      </c>
      <c r="B82" s="8" t="s">
        <v>200</v>
      </c>
      <c r="C82" s="8"/>
      <c r="D82" s="8" t="s">
        <v>201</v>
      </c>
      <c r="E82" s="8"/>
      <c r="F82" s="9">
        <v>3.5</v>
      </c>
      <c r="G82" s="9"/>
      <c r="H82" s="8">
        <v>81</v>
      </c>
      <c r="I82" s="8">
        <v>11</v>
      </c>
      <c r="J82" s="8" t="str">
        <f>VLOOKUP(I82, MenuSections!$A$2:$B$13, 2, FALSE)</f>
        <v>Grappa</v>
      </c>
      <c r="K82" s="8"/>
      <c r="L82" s="10" t="s">
        <v>156</v>
      </c>
    </row>
    <row r="83" spans="1:12">
      <c r="A83" s="8">
        <v>82</v>
      </c>
      <c r="B83" s="8" t="s">
        <v>202</v>
      </c>
      <c r="C83" s="8"/>
      <c r="D83" s="8" t="s">
        <v>203</v>
      </c>
      <c r="E83" s="8"/>
      <c r="F83" s="9">
        <v>4.5</v>
      </c>
      <c r="G83" s="9"/>
      <c r="H83" s="8">
        <v>82</v>
      </c>
      <c r="I83" s="8">
        <v>11</v>
      </c>
      <c r="J83" s="8" t="str">
        <f>VLOOKUP(I83, MenuSections!$A$2:$B$13, 2, FALSE)</f>
        <v>Grappa</v>
      </c>
      <c r="K83" s="8"/>
      <c r="L83" s="10" t="s">
        <v>156</v>
      </c>
    </row>
    <row r="84" spans="1:12">
      <c r="A84" s="8">
        <v>83</v>
      </c>
      <c r="B84" s="8" t="s">
        <v>204</v>
      </c>
      <c r="C84" s="8"/>
      <c r="D84" s="8" t="s">
        <v>205</v>
      </c>
      <c r="E84" s="8"/>
      <c r="F84" s="9">
        <v>4.5</v>
      </c>
      <c r="G84" s="9"/>
      <c r="H84" s="8">
        <v>83</v>
      </c>
      <c r="I84" s="8">
        <v>11</v>
      </c>
      <c r="J84" s="8" t="str">
        <f>VLOOKUP(I84, MenuSections!$A$2:$B$13, 2, FALSE)</f>
        <v>Grappa</v>
      </c>
      <c r="K84" s="8"/>
      <c r="L84" s="10" t="s">
        <v>156</v>
      </c>
    </row>
    <row r="85" spans="1:12">
      <c r="A85" s="8">
        <v>84</v>
      </c>
      <c r="B85" s="8" t="s">
        <v>206</v>
      </c>
      <c r="C85" s="8"/>
      <c r="D85" s="8" t="s">
        <v>207</v>
      </c>
      <c r="E85" s="8"/>
      <c r="F85" s="9">
        <v>4.5</v>
      </c>
      <c r="G85" s="9"/>
      <c r="H85" s="8">
        <v>84</v>
      </c>
      <c r="I85" s="8">
        <v>11</v>
      </c>
      <c r="J85" s="8" t="str">
        <f>VLOOKUP(I85, MenuSections!$A$2:$B$13, 2, FALSE)</f>
        <v>Grappa</v>
      </c>
      <c r="K85" s="8"/>
      <c r="L85" s="10" t="s">
        <v>156</v>
      </c>
    </row>
    <row r="86" spans="1:12">
      <c r="A86" s="8">
        <v>85</v>
      </c>
      <c r="B86" s="8" t="s">
        <v>208</v>
      </c>
      <c r="C86" s="8"/>
      <c r="D86" s="8" t="s">
        <v>208</v>
      </c>
      <c r="E86" s="8"/>
      <c r="F86" s="9">
        <v>5.5</v>
      </c>
      <c r="G86" s="9"/>
      <c r="H86" s="8">
        <v>85</v>
      </c>
      <c r="I86" s="8">
        <v>11</v>
      </c>
      <c r="J86" s="8" t="str">
        <f>VLOOKUP(I86, MenuSections!$A$2:$B$13, 2, FALSE)</f>
        <v>Grappa</v>
      </c>
      <c r="K86" s="8"/>
      <c r="L86" s="10" t="s">
        <v>156</v>
      </c>
    </row>
    <row r="87" spans="1:12" s="6" customFormat="1">
      <c r="A87" s="8">
        <v>86</v>
      </c>
      <c r="B87" s="8" t="s">
        <v>209</v>
      </c>
      <c r="C87" s="8"/>
      <c r="D87" s="8" t="s">
        <v>210</v>
      </c>
      <c r="E87" s="8"/>
      <c r="F87" s="9">
        <v>1.7</v>
      </c>
      <c r="G87" s="9"/>
      <c r="H87" s="8">
        <v>86</v>
      </c>
      <c r="I87" s="8">
        <v>12</v>
      </c>
      <c r="J87" s="8" t="str">
        <f>VLOOKUP(I87, MenuSections!$A$2:$B$13, 2, FALSE)</f>
        <v>Coffee</v>
      </c>
      <c r="K87" s="8"/>
      <c r="L87" s="10" t="s">
        <v>156</v>
      </c>
    </row>
    <row r="88" spans="1:12" s="6" customFormat="1">
      <c r="A88" s="8">
        <v>87</v>
      </c>
      <c r="B88" s="8" t="s">
        <v>211</v>
      </c>
      <c r="C88" s="8"/>
      <c r="D88" s="8" t="s">
        <v>212</v>
      </c>
      <c r="E88" s="8"/>
      <c r="F88" s="9">
        <v>1.7</v>
      </c>
      <c r="G88" s="9"/>
      <c r="H88" s="8">
        <v>87</v>
      </c>
      <c r="I88" s="8">
        <v>12</v>
      </c>
      <c r="J88" s="8" t="str">
        <f>VLOOKUP(I88, MenuSections!$A$2:$B$13, 2, FALSE)</f>
        <v>Coffee</v>
      </c>
      <c r="K88" s="8"/>
      <c r="L88" s="10" t="s">
        <v>156</v>
      </c>
    </row>
    <row r="89" spans="1:12" s="6" customFormat="1">
      <c r="A89" s="8">
        <v>88</v>
      </c>
      <c r="B89" s="8" t="s">
        <v>213</v>
      </c>
      <c r="C89" s="8"/>
      <c r="D89" s="8" t="s">
        <v>214</v>
      </c>
      <c r="E89" s="8"/>
      <c r="F89" s="9">
        <v>1.8</v>
      </c>
      <c r="G89" s="9"/>
      <c r="H89" s="8">
        <v>88</v>
      </c>
      <c r="I89" s="8">
        <v>12</v>
      </c>
      <c r="J89" s="8" t="str">
        <f>VLOOKUP(I89, MenuSections!$A$2:$B$13, 2, FALSE)</f>
        <v>Coffee</v>
      </c>
      <c r="K89" s="8"/>
      <c r="L89" s="10" t="s">
        <v>156</v>
      </c>
    </row>
    <row r="90" spans="1:12" s="6" customFormat="1">
      <c r="A90" s="8">
        <v>89</v>
      </c>
      <c r="B90" s="8" t="s">
        <v>215</v>
      </c>
      <c r="C90" s="8"/>
      <c r="D90" s="8" t="s">
        <v>216</v>
      </c>
      <c r="E90" s="8"/>
      <c r="F90" s="9">
        <v>1.8</v>
      </c>
      <c r="G90" s="9"/>
      <c r="H90" s="8">
        <v>89</v>
      </c>
      <c r="I90" s="8">
        <v>12</v>
      </c>
      <c r="J90" s="8" t="str">
        <f>VLOOKUP(I90, MenuSections!$A$2:$B$13, 2, FALSE)</f>
        <v>Coffee</v>
      </c>
      <c r="K90" s="8"/>
      <c r="L90" s="10" t="s">
        <v>156</v>
      </c>
    </row>
    <row r="91" spans="1:12">
      <c r="A91" s="8">
        <v>90</v>
      </c>
      <c r="B91" s="8" t="s">
        <v>217</v>
      </c>
      <c r="C91" s="8"/>
      <c r="D91" s="8" t="s">
        <v>218</v>
      </c>
      <c r="E91" s="8"/>
      <c r="F91" s="9">
        <v>2</v>
      </c>
      <c r="G91" s="9"/>
      <c r="H91" s="8">
        <v>90</v>
      </c>
      <c r="I91" s="8">
        <v>12</v>
      </c>
      <c r="J91" s="8" t="str">
        <f>VLOOKUP(I91, MenuSections!$A$2:$B$13, 2, FALSE)</f>
        <v>Coffee</v>
      </c>
      <c r="K91" s="8"/>
      <c r="L91" s="10" t="s">
        <v>156</v>
      </c>
    </row>
    <row r="92" spans="1:12">
      <c r="A92" s="8">
        <v>91</v>
      </c>
      <c r="B92" s="8" t="s">
        <v>219</v>
      </c>
      <c r="C92" s="8"/>
      <c r="D92" s="8" t="s">
        <v>220</v>
      </c>
      <c r="E92" s="8"/>
      <c r="F92" s="9">
        <v>2.5</v>
      </c>
      <c r="G92" s="9"/>
      <c r="H92" s="8">
        <v>91</v>
      </c>
      <c r="I92" s="8">
        <v>12</v>
      </c>
      <c r="J92" s="8" t="str">
        <f>VLOOKUP(I92, MenuSections!$A$2:$B$13, 2, FALSE)</f>
        <v>Coffee</v>
      </c>
      <c r="K92" s="8"/>
      <c r="L92" s="10" t="s">
        <v>156</v>
      </c>
    </row>
  </sheetData>
  <dataValidations count="1">
    <dataValidation allowBlank="1" showInputMessage="1" showErrorMessage="1" sqref="D17:F17 J2:J1048576" xr:uid="{6B6BD5DC-7F80-47EB-BFA1-0C3D01FB315D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8B561A-6DA0-44A3-A499-80CFF3C27567}">
          <x14:formula1>
            <xm:f>MenuSections!$A$2:$A$13</xm:f>
          </x14:formula1>
          <xm:sqref>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6F54-4847-48A0-A355-882A07FEFF31}">
  <dimension ref="A1:B13"/>
  <sheetViews>
    <sheetView workbookViewId="0">
      <selection activeCell="C9" sqref="C9"/>
    </sheetView>
  </sheetViews>
  <sheetFormatPr defaultRowHeight="15"/>
  <cols>
    <col min="2" max="2" width="9.85546875" bestFit="1" customWidth="1"/>
  </cols>
  <sheetData>
    <row r="1" spans="1:2" s="1" customFormat="1">
      <c r="A1" s="1" t="s">
        <v>0</v>
      </c>
      <c r="B1" s="1" t="s">
        <v>1</v>
      </c>
    </row>
    <row r="2" spans="1:2">
      <c r="A2">
        <v>1</v>
      </c>
      <c r="B2" t="s">
        <v>221</v>
      </c>
    </row>
    <row r="3" spans="1:2">
      <c r="A3">
        <v>2</v>
      </c>
      <c r="B3" t="s">
        <v>222</v>
      </c>
    </row>
    <row r="4" spans="1:2">
      <c r="A4">
        <v>3</v>
      </c>
      <c r="B4" t="s">
        <v>223</v>
      </c>
    </row>
    <row r="5" spans="1:2">
      <c r="A5">
        <v>4</v>
      </c>
      <c r="B5" t="s">
        <v>224</v>
      </c>
    </row>
    <row r="6" spans="1:2">
      <c r="A6">
        <v>5</v>
      </c>
      <c r="B6" t="s">
        <v>225</v>
      </c>
    </row>
    <row r="7" spans="1:2">
      <c r="A7">
        <v>6</v>
      </c>
      <c r="B7" t="s">
        <v>226</v>
      </c>
    </row>
    <row r="8" spans="1:2">
      <c r="A8">
        <v>7</v>
      </c>
      <c r="B8" t="s">
        <v>227</v>
      </c>
    </row>
    <row r="9" spans="1:2">
      <c r="A9">
        <v>8</v>
      </c>
      <c r="B9" t="s">
        <v>228</v>
      </c>
    </row>
    <row r="10" spans="1:2">
      <c r="A10">
        <v>9</v>
      </c>
      <c r="B10" t="s">
        <v>229</v>
      </c>
    </row>
    <row r="11" spans="1:2">
      <c r="A11">
        <v>10</v>
      </c>
      <c r="B11" t="s">
        <v>230</v>
      </c>
    </row>
    <row r="12" spans="1:2">
      <c r="A12">
        <v>11</v>
      </c>
      <c r="B12" t="s">
        <v>231</v>
      </c>
    </row>
    <row r="13" spans="1:2">
      <c r="A13">
        <v>12</v>
      </c>
      <c r="B13" t="s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BF27-25BB-48FA-8471-7711DDCDE304}">
  <dimension ref="A1:B5"/>
  <sheetViews>
    <sheetView workbookViewId="0">
      <selection activeCell="C9" sqref="C9"/>
    </sheetView>
  </sheetViews>
  <sheetFormatPr defaultRowHeight="15"/>
  <cols>
    <col min="2" max="2" width="9.28515625" bestFit="1" customWidth="1"/>
  </cols>
  <sheetData>
    <row r="1" spans="1:2" s="1" customFormat="1">
      <c r="A1" s="1" t="s">
        <v>0</v>
      </c>
      <c r="B1" s="1" t="s">
        <v>1</v>
      </c>
    </row>
    <row r="2" spans="1:2">
      <c r="A2">
        <v>1</v>
      </c>
      <c r="B2" t="s">
        <v>233</v>
      </c>
    </row>
    <row r="3" spans="1:2">
      <c r="A3">
        <v>2</v>
      </c>
      <c r="B3" t="s">
        <v>234</v>
      </c>
    </row>
    <row r="4" spans="1:2">
      <c r="A4">
        <v>3</v>
      </c>
      <c r="B4" t="s">
        <v>235</v>
      </c>
    </row>
    <row r="5" spans="1:2">
      <c r="A5">
        <v>4</v>
      </c>
      <c r="B5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barbaresco</cp:lastModifiedBy>
  <cp:revision/>
  <dcterms:created xsi:type="dcterms:W3CDTF">2025-05-10T15:38:35Z</dcterms:created>
  <dcterms:modified xsi:type="dcterms:W3CDTF">2026-04-26T09:06:13Z</dcterms:modified>
  <cp:category/>
  <cp:contentStatus/>
</cp:coreProperties>
</file>